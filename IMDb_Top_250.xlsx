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2" customWidth="1" min="3" max="3"/>
    <col width="63" customWidth="1" min="4" max="4"/>
    <col width="141" customWidth="1" min="5" max="5"/>
  </cols>
  <sheetData>
    <row r="1">
      <c r="A1" s="1" t="inlineStr">
        <is>
          <t>Title</t>
        </is>
      </c>
      <c r="B1" s="1" t="inlineStr">
        <is>
          <t>Rating</t>
        </is>
      </c>
      <c r="C1" s="1" t="inlineStr">
        <is>
          <t>Year</t>
        </is>
      </c>
      <c r="D1" s="1" t="inlineStr">
        <is>
          <t>Link</t>
        </is>
      </c>
      <c r="E1" s="1" t="inlineStr">
        <is>
          <t>Poster</t>
        </is>
      </c>
    </row>
    <row r="2">
      <c r="A2" s="2">
        <f>HYPERLINK("https://www.imdb.com/title/tt0111161/?ref_=chttp_i_1", "The Shawshank Redemption")</f>
        <v/>
      </c>
      <c r="B2" t="n">
        <v>9.300000000000001</v>
      </c>
      <c r="D2" t="inlineStr">
        <is>
          <t>https://www.imdb.com/title/tt0111161/?ref_=chttp_i_1</t>
        </is>
      </c>
      <c r="E2" t="inlineStr">
        <is>
          <t>https://m.media-amazon.com/images/M/MV5BMDAyY2FhYjctNDc5OS00MDNlLThiMGUtY2UxYWVkNGY2ZjljXkEyXkFqcGc@._V1_QL75_UX90_CR0,1,90,133_.jpg</t>
        </is>
      </c>
    </row>
    <row r="3">
      <c r="A3" s="2">
        <f>HYPERLINK("https://www.imdb.com/title/tt0068646/?ref_=chttp_i_2", "The Godfather")</f>
        <v/>
      </c>
      <c r="B3" t="n">
        <v>9.199999999999999</v>
      </c>
      <c r="D3" t="inlineStr">
        <is>
          <t>https://www.imdb.com/title/tt0068646/?ref_=chttp_i_2</t>
        </is>
      </c>
      <c r="E3" t="inlineStr">
        <is>
          <t>https://m.media-amazon.com/images/M/MV5BNGEwYjgwOGQtYjg5ZS00Njc1LTk2ZGEtM2QwZWQ2NjdhZTE5XkEyXkFqcGc@._V1_QL75_UY133_CR2,0,90,133_.jpg</t>
        </is>
      </c>
    </row>
    <row r="4">
      <c r="A4" s="2">
        <f>HYPERLINK("https://www.imdb.com/title/tt0468569/?ref_=chttp_i_3", "The Dark Knight")</f>
        <v/>
      </c>
      <c r="B4" t="n">
        <v>9.1</v>
      </c>
      <c r="D4" t="inlineStr">
        <is>
          <t>https://www.imdb.com/title/tt0468569/?ref_=chttp_i_3</t>
        </is>
      </c>
      <c r="E4" t="inlineStr">
        <is>
          <t>https://m.media-amazon.com/images/M/MV5BMTMxNTMwODM0NF5BMl5BanBnXkFtZTcwODAyMTk2Mw@@._V1_QL75_UX90_CR0,0,90,133_.jpg</t>
        </is>
      </c>
    </row>
    <row r="5">
      <c r="A5" s="2">
        <f>HYPERLINK("https://www.imdb.com/title/tt0071562/?ref_=chttp_i_4", "The Godfather Part II")</f>
        <v/>
      </c>
      <c r="B5" t="n">
        <v>9</v>
      </c>
      <c r="D5" t="inlineStr">
        <is>
          <t>https://www.imdb.com/title/tt0071562/?ref_=chttp_i_4</t>
        </is>
      </c>
      <c r="E5" t="inlineStr">
        <is>
          <t>https://m.media-amazon.com/images/M/MV5BMDIxMzBlZDktZjMxNy00ZGI4LTgxNDEtYWRlNzRjMjJmOGQ1XkEyXkFqcGc@._V1_QL75_UX90_CR0,1,90,133_.jpg</t>
        </is>
      </c>
    </row>
    <row r="6">
      <c r="A6" s="2">
        <f>HYPERLINK("https://www.imdb.com/title/tt0050083/?ref_=chttp_i_5", "12 Angry Men")</f>
        <v/>
      </c>
      <c r="B6" t="n">
        <v>9</v>
      </c>
      <c r="D6" t="inlineStr">
        <is>
          <t>https://www.imdb.com/title/tt0050083/?ref_=chttp_i_5</t>
        </is>
      </c>
      <c r="E6" t="inlineStr">
        <is>
          <t>https://m.media-amazon.com/images/M/MV5BYjE4NzdmOTYtYjc5Yi00YzBiLWEzNDEtNTgxZGQ2MWVkN2NiXkEyXkFqcGc@._V1_QL75_UX90_CR0,3,90,133_.jpg</t>
        </is>
      </c>
    </row>
    <row r="7">
      <c r="A7" s="2">
        <f>HYPERLINK("https://www.imdb.com/title/tt0167260/?ref_=chttp_i_6", "The Lord of the Rings: The Return of the King")</f>
        <v/>
      </c>
      <c r="B7" t="n">
        <v>9</v>
      </c>
      <c r="D7" t="inlineStr">
        <is>
          <t>https://www.imdb.com/title/tt0167260/?ref_=chttp_i_6</t>
        </is>
      </c>
      <c r="E7" t="inlineStr">
        <is>
          <t>https://m.media-amazon.com/images/M/MV5BMTZkMjBjNWMtZGI5OC00MGU0LTk4ZTItODg2NWM3NTVmNWQ4XkEyXkFqcGc@._V1_QL75_UX90_CR0,0,90,133_.jpg</t>
        </is>
      </c>
    </row>
    <row r="8">
      <c r="A8" s="2">
        <f>HYPERLINK("https://www.imdb.com/title/tt0108052/?ref_=chttp_i_7", "Schindler's List")</f>
        <v/>
      </c>
      <c r="B8" t="n">
        <v>9</v>
      </c>
      <c r="D8" t="inlineStr">
        <is>
          <t>https://www.imdb.com/title/tt0108052/?ref_=chttp_i_7</t>
        </is>
      </c>
      <c r="E8" t="inlineStr">
        <is>
          <t>https://m.media-amazon.com/images/M/MV5BNjM1ZDQxYWUtMzQyZS00MTE1LWJmZGYtNGUyNTdlYjM3ZmVmXkEyXkFqcGc@._V1_QL75_UX90_CR0,1,90,133_.jpg</t>
        </is>
      </c>
    </row>
    <row r="9">
      <c r="A9" s="2">
        <f>HYPERLINK("https://www.imdb.com/title/tt0120737/?ref_=chttp_i_8", "The Lord of the Rings: The Fellowship of the Ring")</f>
        <v/>
      </c>
      <c r="B9" t="n">
        <v>8.9</v>
      </c>
      <c r="D9" t="inlineStr">
        <is>
          <t>https://www.imdb.com/title/tt0120737/?ref_=chttp_i_8</t>
        </is>
      </c>
      <c r="E9" t="inlineStr">
        <is>
          <t>https://m.media-amazon.com/images/M/MV5BNzIxMDQ2YTctNDY4MC00ZTRhLTk4ODQtMTVlOWY4NTdiYmMwXkEyXkFqcGc@._V1_QL75_UX90_CR0,0,90,133_.jpg</t>
        </is>
      </c>
    </row>
    <row r="10">
      <c r="A10" s="2">
        <f>HYPERLINK("https://www.imdb.com/title/tt0110912/?ref_=chttp_i_9", "Pulp Fiction")</f>
        <v/>
      </c>
      <c r="B10" t="n">
        <v>8.800000000000001</v>
      </c>
      <c r="D10" t="inlineStr">
        <is>
          <t>https://www.imdb.com/title/tt0110912/?ref_=chttp_i_9</t>
        </is>
      </c>
      <c r="E10" t="inlineStr">
        <is>
          <t>https://m.media-amazon.com/images/M/MV5BYTViYTE3ZGQtNDBlMC00ZTAyLTkyODMtZGRiZDg0MjA2YThkXkEyXkFqcGc@._V1_QL75_UY133_CR1,0,90,133_.jpg</t>
        </is>
      </c>
    </row>
    <row r="11">
      <c r="A11" s="2">
        <f>HYPERLINK("https://www.imdb.com/title/tt0060196/?ref_=chttp_i_10", "The Good, the Bad and the Ugly")</f>
        <v/>
      </c>
      <c r="B11" t="n">
        <v>8.800000000000001</v>
      </c>
      <c r="D11" t="inlineStr">
        <is>
          <t>https://www.imdb.com/title/tt0060196/?ref_=chttp_i_10</t>
        </is>
      </c>
      <c r="E11" t="inlineStr">
        <is>
          <t>https://m.media-amazon.com/images/M/MV5BMWM5ZjQxM2YtNDlmYi00ZDNhLWI4MWUtN2VkYjBlMTY1ZTkwXkEyXkFqcGc@._V1_QL75_UX90_CR0,1,90,133_.jpg</t>
        </is>
      </c>
    </row>
    <row r="12">
      <c r="A12" s="2">
        <f>HYPERLINK("https://www.imdb.com/title/tt0167261/?ref_=chttp_i_11", "The Lord of the Rings: The Two Towers")</f>
        <v/>
      </c>
      <c r="B12" t="n">
        <v>8.800000000000001</v>
      </c>
      <c r="D12" t="inlineStr">
        <is>
          <t>https://www.imdb.com/title/tt0167261/?ref_=chttp_i_11</t>
        </is>
      </c>
      <c r="E12" t="inlineStr">
        <is>
          <t>https://m.media-amazon.com/images/M/MV5BMGQxMDdiOWUtYjc1Ni00YzM1LWE2NjMtZTg3Y2JkMjEzMTJjXkEyXkFqcGc@._V1_QL75_UX90_CR0,3,90,133_.jpg</t>
        </is>
      </c>
    </row>
    <row r="13">
      <c r="A13" s="2">
        <f>HYPERLINK("https://www.imdb.com/title/tt0109830/?ref_=chttp_i_12", "Forrest Gump")</f>
        <v/>
      </c>
      <c r="B13" t="n">
        <v>8.800000000000001</v>
      </c>
      <c r="D13" t="inlineStr">
        <is>
          <t>https://www.imdb.com/title/tt0109830/?ref_=chttp_i_12</t>
        </is>
      </c>
      <c r="E13" t="inlineStr">
        <is>
          <t>https://m.media-amazon.com/images/M/MV5BNDYwNzVjMTItZmU5YS00YjQ5LTljYjgtMjY2NDVmYWMyNWFmXkEyXkFqcGc@._V1_QL75_UY133_CR1,0,90,133_.jpg</t>
        </is>
      </c>
    </row>
    <row r="14">
      <c r="A14" s="2">
        <f>HYPERLINK("https://www.imdb.com/title/tt0137523/?ref_=chttp_i_13", "Fight Club")</f>
        <v/>
      </c>
      <c r="B14" t="n">
        <v>8.800000000000001</v>
      </c>
      <c r="D14" t="inlineStr">
        <is>
          <t>https://www.imdb.com/title/tt0137523/?ref_=chttp_i_13</t>
        </is>
      </c>
      <c r="E14" t="inlineStr">
        <is>
          <t>https://m.media-amazon.com/images/M/MV5BOTgyOGQ1NDItNGU3Ny00MjU3LTg2YWEtNmEyYjBiMjI1Y2M5XkEyXkFqcGc@._V1_QL75_UX90_CR0,1,90,133_.jpg</t>
        </is>
      </c>
    </row>
    <row r="15">
      <c r="A15" s="2">
        <f>HYPERLINK("https://www.imdb.com/title/tt1375666/?ref_=chttp_i_14", "Inception")</f>
        <v/>
      </c>
      <c r="B15" t="n">
        <v>8.800000000000001</v>
      </c>
      <c r="D15" t="inlineStr">
        <is>
          <t>https://www.imdb.com/title/tt1375666/?ref_=chttp_i_14</t>
        </is>
      </c>
      <c r="E15" t="inlineStr">
        <is>
          <t>https://m.media-amazon.com/images/M/MV5BMjAxMzY3NjcxNF5BMl5BanBnXkFtZTcwNTI5OTM0Mw@@._V1_QL75_UX90_CR0,0,90,133_.jpg</t>
        </is>
      </c>
    </row>
    <row r="16">
      <c r="A16" s="2">
        <f>HYPERLINK("https://www.imdb.com/title/tt0080684/?ref_=chttp_i_15", "Star Wars: Episode V - The Empire Strikes Back")</f>
        <v/>
      </c>
      <c r="B16" t="n">
        <v>8.699999999999999</v>
      </c>
      <c r="D16" t="inlineStr">
        <is>
          <t>https://www.imdb.com/title/tt0080684/?ref_=chttp_i_15</t>
        </is>
      </c>
      <c r="E16" t="inlineStr">
        <is>
          <t>https://m.media-amazon.com/images/M/MV5BMTkxNGFlNDktZmJkNC00MDdhLTg0MTEtZjZiYWI3MGE5NWIwXkEyXkFqcGc@._V1_QL75_UX90_CR0,3,90,133_.jpg</t>
        </is>
      </c>
    </row>
    <row r="17">
      <c r="A17" s="2">
        <f>HYPERLINK("https://www.imdb.com/title/tt0133093/?ref_=chttp_i_16", "The Matrix")</f>
        <v/>
      </c>
      <c r="B17" t="n">
        <v>8.699999999999999</v>
      </c>
      <c r="D17" t="inlineStr">
        <is>
          <t>https://www.imdb.com/title/tt0133093/?ref_=chttp_i_16</t>
        </is>
      </c>
      <c r="E17" t="inlineStr">
        <is>
          <t>https://m.media-amazon.com/images/M/MV5BN2NmN2VhMTQtMDNiOS00NDlhLTliMjgtODE2ZTY0ODQyNDRhXkEyXkFqcGc@._V1_QL75_UX90_CR0,1,90,133_.jpg</t>
        </is>
      </c>
    </row>
    <row r="18">
      <c r="A18" s="2">
        <f>HYPERLINK("https://www.imdb.com/title/tt0099685/?ref_=chttp_i_17", "GoodFellas")</f>
        <v/>
      </c>
      <c r="B18" t="n">
        <v>8.699999999999999</v>
      </c>
      <c r="D18" t="inlineStr">
        <is>
          <t>https://www.imdb.com/title/tt0099685/?ref_=chttp_i_17</t>
        </is>
      </c>
      <c r="E18" t="inlineStr">
        <is>
          <t>https://m.media-amazon.com/images/M/MV5BN2E5NzI2ZGMtY2VjNi00YTRjLWI1MDUtZGY5OWU1MWJjZjRjXkEyXkFqcGc@._V1_QL75_UX90_CR0,1,90,133_.jpg</t>
        </is>
      </c>
    </row>
    <row r="19">
      <c r="A19" s="2">
        <f>HYPERLINK("https://www.imdb.com/title/tt0816692/?ref_=chttp_i_18", "Interstellar")</f>
        <v/>
      </c>
      <c r="B19" t="n">
        <v>8.699999999999999</v>
      </c>
      <c r="D19" t="inlineStr">
        <is>
          <t>https://www.imdb.com/title/tt0816692/?ref_=chttp_i_18</t>
        </is>
      </c>
      <c r="E19" t="inlineStr">
        <is>
          <t>https://m.media-amazon.com/images/M/MV5BYzdjMDAxZGItMjI2My00ODA1LTlkNzItOWFjMDU5ZDJlYWY3XkEyXkFqcGc@._V1_QL75_UX90_CR0,0,90,133_.jpg</t>
        </is>
      </c>
    </row>
    <row r="20">
      <c r="A20" s="2">
        <f>HYPERLINK("https://www.imdb.com/title/tt0073486/?ref_=chttp_i_19", "One Flew Over the Cuckoo's Nest")</f>
        <v/>
      </c>
      <c r="B20" t="n">
        <v>8.6</v>
      </c>
      <c r="D20" t="inlineStr">
        <is>
          <t>https://www.imdb.com/title/tt0073486/?ref_=chttp_i_19</t>
        </is>
      </c>
      <c r="E20" t="inlineStr">
        <is>
          <t>https://m.media-amazon.com/images/M/MV5BYjBkMjgzMzYtNzRiMS00NDc3LWE4YTUtZjYxYjZhNjNhYzhhXkEyXkFqcGc@._V1_QL75_UX90_CR0,0,90,133_.jpg</t>
        </is>
      </c>
    </row>
    <row r="21">
      <c r="A21" s="2">
        <f>HYPERLINK("https://www.imdb.com/title/tt0114369/?ref_=chttp_i_20", "Seven")</f>
        <v/>
      </c>
      <c r="B21" t="n">
        <v>8.6</v>
      </c>
      <c r="D21" t="inlineStr">
        <is>
          <t>https://www.imdb.com/title/tt0114369/?ref_=chttp_i_20</t>
        </is>
      </c>
      <c r="E21" t="inlineStr">
        <is>
          <t>https://m.media-amazon.com/images/M/MV5BY2IzNzMxZjctZjUxZi00YzAxLTk3ZjMtODFjODdhMDU5NDM1XkEyXkFqcGc@._V1_QL75_UX90_CR0,4,90,133_.jpg</t>
        </is>
      </c>
    </row>
    <row r="22">
      <c r="A22" s="2">
        <f>HYPERLINK("https://www.imdb.com/title/tt0038650/?ref_=chttp_i_21", "It's a Wonderful Life")</f>
        <v/>
      </c>
      <c r="B22" t="n">
        <v>8.6</v>
      </c>
      <c r="D22" t="inlineStr">
        <is>
          <t>https://www.imdb.com/title/tt0038650/?ref_=chttp_i_21</t>
        </is>
      </c>
      <c r="E22" t="inlineStr">
        <is>
          <t>https://m.media-amazon.com/images/M/MV5BMDM4OWFhYjEtNTE5Yy00NjcyLTg5N2UtZDQwNDZlYjlmNDU5XkEyXkFqcGc@._V1_QL75_UY133_CR1,0,90,133_.jpg</t>
        </is>
      </c>
    </row>
    <row r="23">
      <c r="A23" s="2">
        <f>HYPERLINK("https://www.imdb.com/title/tt0102926/?ref_=chttp_i_22", "The Silence of the Lambs")</f>
        <v/>
      </c>
      <c r="B23" t="n">
        <v>8.6</v>
      </c>
      <c r="D23" t="inlineStr">
        <is>
          <t>https://www.imdb.com/title/tt0102926/?ref_=chttp_i_22</t>
        </is>
      </c>
      <c r="E23" t="inlineStr">
        <is>
          <t>https://m.media-amazon.com/images/M/MV5BNDdhOGJhYzctYzYwZC00YmI2LWI0MjctYjg4ODdlMDExYjBlXkEyXkFqcGc@._V1_QL75_UY133_CR0,0,90,133_.jpg</t>
        </is>
      </c>
    </row>
    <row r="24">
      <c r="A24" s="2">
        <f>HYPERLINK("https://www.imdb.com/title/tt0047478/?ref_=chttp_i_23", "Seven Samurai")</f>
        <v/>
      </c>
      <c r="B24" t="n">
        <v>8.6</v>
      </c>
      <c r="D24" t="inlineStr">
        <is>
          <t>https://www.imdb.com/title/tt0047478/?ref_=chttp_i_23</t>
        </is>
      </c>
      <c r="E24" t="inlineStr">
        <is>
          <t>https://m.media-amazon.com/images/M/MV5BZjliMWExOTMtZDQ3ZS00NWU3LWIyN2EtMjllNzk3ZTNlYzg4XkEyXkFqcGc@._V1_QL75_UY133_CR2,0,90,133_.jpg</t>
        </is>
      </c>
    </row>
    <row r="25">
      <c r="A25" s="2">
        <f>HYPERLINK("https://www.imdb.com/title/tt0120815/?ref_=chttp_i_24", "Saving Private Ryan")</f>
        <v/>
      </c>
      <c r="B25" t="n">
        <v>8.6</v>
      </c>
      <c r="D25" t="inlineStr">
        <is>
          <t>https://www.imdb.com/title/tt0120815/?ref_=chttp_i_24</t>
        </is>
      </c>
      <c r="E25" t="inlineStr">
        <is>
          <t>https://m.media-amazon.com/images/M/MV5BZGZhZGQ1ZWUtZTZjYS00MDJhLWFkYjctN2ZlYjE5NWYwZDM2XkEyXkFqcGc@._V1_QL75_UY133_CR0,0,90,133_.jpg</t>
        </is>
      </c>
    </row>
    <row r="26">
      <c r="A26" s="2">
        <f>HYPERLINK("https://www.imdb.com/title/tt0120689/?ref_=chttp_i_25", "The Green Mile")</f>
        <v/>
      </c>
      <c r="B26" t="n">
        <v>8.6</v>
      </c>
      <c r="D26" t="inlineStr">
        <is>
          <t>https://www.imdb.com/title/tt0120689/?ref_=chttp_i_25</t>
        </is>
      </c>
      <c r="E26" t="inlineStr">
        <is>
          <t>https://m.media-amazon.com/images/M/MV5BMTUxMzQyNjA5MF5BMl5BanBnXkFtZTYwOTU2NTY3._V1_QL75_UX90_CR0,0,90,133_.jpg</t>
        </is>
      </c>
    </row>
    <row r="27">
      <c r="A27" s="2">
        <f>HYPERLINK("https://www.imdb.com/title/tt0317248/?ref_=chttp_i_26", "City of God")</f>
        <v/>
      </c>
      <c r="B27" t="n">
        <v>8.6</v>
      </c>
      <c r="D27" t="inlineStr">
        <is>
          <t>https://www.imdb.com/title/tt0317248/?ref_=chttp_i_26</t>
        </is>
      </c>
      <c r="E27" t="inlineStr">
        <is>
          <t>https://m.media-amazon.com/images/M/MV5BYjY4NGI5OTUtY2ZlZS00Zjk4LTk5N2MtN2JmYWVjNGNmMGRlXkEyXkFqcGc@._V1_QL75_UY133_CR0,0,90,133_.jpg</t>
        </is>
      </c>
    </row>
    <row r="28">
      <c r="A28" s="2">
        <f>HYPERLINK("https://www.imdb.com/title/tt0118799/?ref_=chttp_i_27", "Life Is Beautiful")</f>
        <v/>
      </c>
      <c r="B28" t="n">
        <v>8.6</v>
      </c>
      <c r="D28" t="inlineStr">
        <is>
          <t>https://www.imdb.com/title/tt0118799/?ref_=chttp_i_27</t>
        </is>
      </c>
      <c r="E28" t="inlineStr">
        <is>
          <t>https://m.media-amazon.com/images/M/MV5BZTBhOGYzZjQtYzE0Mi00MGIwLWE0MWYtNzMxNTM2OTFkM2NjXkEyXkFqcGc@._V1_QL75_UX90_CR0,0,90,133_.jpg</t>
        </is>
      </c>
    </row>
    <row r="29">
      <c r="A29" s="2">
        <f>HYPERLINK("https://www.imdb.com/title/tt0103064/?ref_=chttp_i_28", "Terminator 2: Judgment Day")</f>
        <v/>
      </c>
      <c r="B29" t="n">
        <v>8.6</v>
      </c>
      <c r="D29" t="inlineStr">
        <is>
          <t>https://www.imdb.com/title/tt0103064/?ref_=chttp_i_28</t>
        </is>
      </c>
      <c r="E29" t="inlineStr">
        <is>
          <t>https://m.media-amazon.com/images/M/MV5BNGMyMGNkMDUtMjc2Ni00NWFlLTgyODEtZTY2MzBiZTg0OWZiXkEyXkFqcGc@._V1_QL75_UX90_CR0,0,90,133_.jpg</t>
        </is>
      </c>
    </row>
    <row r="30">
      <c r="A30" s="2">
        <f>HYPERLINK("https://www.imdb.com/title/tt0076759/?ref_=chttp_i_29", "Star Wars: Episode IV - A New Hope")</f>
        <v/>
      </c>
      <c r="B30" t="n">
        <v>8.6</v>
      </c>
      <c r="D30" t="inlineStr">
        <is>
          <t>https://www.imdb.com/title/tt0076759/?ref_=chttp_i_29</t>
        </is>
      </c>
      <c r="E30" t="inlineStr">
        <is>
          <t>https://m.media-amazon.com/images/M/MV5BOGUwMDk0Y2MtNjBlNi00NmRiLTk2MWYtMGMyMDlhYmI4ZDBjXkEyXkFqcGc@._V1_QL75_UX90_CR0,2,90,133_.jpg</t>
        </is>
      </c>
    </row>
    <row r="31">
      <c r="A31" s="2">
        <f>HYPERLINK("https://www.imdb.com/title/tt0088763/?ref_=chttp_i_30", "Back to the Future")</f>
        <v/>
      </c>
      <c r="B31" t="n">
        <v>8.5</v>
      </c>
      <c r="D31" t="inlineStr">
        <is>
          <t>https://www.imdb.com/title/tt0088763/?ref_=chttp_i_30</t>
        </is>
      </c>
      <c r="E31" t="inlineStr">
        <is>
          <t>https://m.media-amazon.com/images/M/MV5BZmM3ZjE0NzctNjBiOC00MDZmLTgzMTUtNGVlOWFlOTNiZDJiXkEyXkFqcGc@._V1_QL75_UX90_CR0,3,90,133_.jpg</t>
        </is>
      </c>
    </row>
    <row r="32">
      <c r="A32" s="2">
        <f>HYPERLINK("https://www.imdb.com/title/tt0245429/?ref_=chttp_i_31", "Spirited Away")</f>
        <v/>
      </c>
      <c r="B32" t="n">
        <v>8.6</v>
      </c>
      <c r="D32" t="inlineStr">
        <is>
          <t>https://www.imdb.com/title/tt0245429/?ref_=chttp_i_31</t>
        </is>
      </c>
      <c r="E32" t="inlineStr">
        <is>
          <t>https://m.media-amazon.com/images/M/MV5BNTEyNmEwOWUtYzkyOC00ZTQ4LTllZmUtMjk0Y2YwOGUzYjRiXkEyXkFqcGc@._V1_QL75_UX90_CR0,0,90,133_.jpg</t>
        </is>
      </c>
    </row>
    <row r="33">
      <c r="A33" s="2">
        <f>HYPERLINK("https://www.imdb.com/title/tt0253474/?ref_=chttp_i_32", "The Pianist")</f>
        <v/>
      </c>
      <c r="B33" t="n">
        <v>8.5</v>
      </c>
      <c r="D33" t="inlineStr">
        <is>
          <t>https://www.imdb.com/title/tt0253474/?ref_=chttp_i_32</t>
        </is>
      </c>
      <c r="E33" t="inlineStr">
        <is>
          <t>https://m.media-amazon.com/images/M/MV5BMjEwNmEwYjgtNTk3ZC00NjljLTg5ZDctZTY3ZGQwZjRkZmQxXkEyXkFqcGc@._V1_QL75_UY133_CR3,0,90,133_.jpg</t>
        </is>
      </c>
    </row>
    <row r="34">
      <c r="A34" s="2">
        <f>HYPERLINK("https://www.imdb.com/title/tt0172495/?ref_=chttp_i_33", "Gladiator")</f>
        <v/>
      </c>
      <c r="B34" t="n">
        <v>8.5</v>
      </c>
      <c r="D34" t="inlineStr">
        <is>
          <t>https://www.imdb.com/title/tt0172495/?ref_=chttp_i_33</t>
        </is>
      </c>
      <c r="E34" t="inlineStr">
        <is>
          <t>https://m.media-amazon.com/images/M/MV5BYWQ4YmNjYjEtOWE1Zi00Y2U4LWI4NTAtMTU0MjkxNWQ1ZmJiXkEyXkFqcGc@._V1_QL75_UX90_CR0,0,90,133_.jpg</t>
        </is>
      </c>
    </row>
    <row r="35">
      <c r="A35" s="2">
        <f>HYPERLINK("https://www.imdb.com/title/tt6751668/?ref_=chttp_i_34", "Parasite")</f>
        <v/>
      </c>
      <c r="B35" t="n">
        <v>8.5</v>
      </c>
      <c r="D35" t="inlineStr">
        <is>
          <t>https://www.imdb.com/title/tt6751668/?ref_=chttp_i_34</t>
        </is>
      </c>
      <c r="E35" t="inlineStr">
        <is>
          <t>https://m.media-amazon.com/images/M/MV5BYjk1Y2U4MjQtY2ZiNS00OWQyLWI3MmYtZWUwNmRjYWRiNWNhXkEyXkFqcGc@._V1_QL75_UX90_CR0,0,90,133_.jpg</t>
        </is>
      </c>
    </row>
    <row r="36">
      <c r="A36" s="2">
        <f>HYPERLINK("https://www.imdb.com/title/tt0095327/?ref_=chttp_i_35", "Grave of the Fireflies")</f>
        <v/>
      </c>
      <c r="B36" t="n">
        <v>8.5</v>
      </c>
      <c r="D36" t="inlineStr">
        <is>
          <t>https://www.imdb.com/title/tt0095327/?ref_=chttp_i_35</t>
        </is>
      </c>
      <c r="E36" t="inlineStr">
        <is>
          <t>https://m.media-amazon.com/images/M/MV5BNTY5MmE2OGMtN2IxNC00MDY4LTkwMGEtZDUzOTYyNWE0ZTNjXkEyXkFqcGc@._V1_QL75_UX90_CR0,1,90,133_.jpg</t>
        </is>
      </c>
    </row>
    <row r="37">
      <c r="A37" s="2">
        <f>HYPERLINK("https://www.imdb.com/title/tt0054215/?ref_=chttp_i_36", "Psycho")</f>
        <v/>
      </c>
      <c r="B37" t="n">
        <v>8.5</v>
      </c>
      <c r="D37" t="inlineStr">
        <is>
          <t>https://www.imdb.com/title/tt0054215/?ref_=chttp_i_36</t>
        </is>
      </c>
      <c r="E37" t="inlineStr">
        <is>
          <t>https://m.media-amazon.com/images/M/MV5BYjZhMzFiZjItODA3ZC00MmRhLWIzMGYtMmVjOWUwYTA3MTRjXkEyXkFqcGc@._V1_QL75_UX90_CR0,0,90,133_.jpg</t>
        </is>
      </c>
    </row>
    <row r="38">
      <c r="A38" s="2">
        <f>HYPERLINK("https://www.imdb.com/title/tt0110357/?ref_=chttp_i_37", "The Lion King")</f>
        <v/>
      </c>
      <c r="B38" t="n">
        <v>8.5</v>
      </c>
      <c r="D38" t="inlineStr">
        <is>
          <t>https://www.imdb.com/title/tt0110357/?ref_=chttp_i_37</t>
        </is>
      </c>
      <c r="E38" t="inlineStr">
        <is>
          <t>https://m.media-amazon.com/images/M/MV5BZGRiZDZhZjItM2M3ZC00Y2IyLTk3Y2MtMWY5YjliNDFkZTJlXkEyXkFqcGc@._V1_QL75_UX90_CR0,0,90,133_.jpg</t>
        </is>
      </c>
    </row>
    <row r="39">
      <c r="A39" s="2">
        <f>HYPERLINK("https://www.imdb.com/title/tt0056058/?ref_=chttp_i_38", "Harakiri")</f>
        <v/>
      </c>
      <c r="B39" t="n">
        <v>8.6</v>
      </c>
      <c r="D39" t="inlineStr">
        <is>
          <t>https://www.imdb.com/title/tt0056058/?ref_=chttp_i_38</t>
        </is>
      </c>
      <c r="E39" t="inlineStr">
        <is>
          <t>https://m.media-amazon.com/images/M/MV5BZThiZjU5ZDQtZDI4Mi00ZGYyLTkzOTktYmIzZTFlZTkxYzg5XkEyXkFqcGc@._V1_QL75_UY133_CR1,0,90,133_.jpg</t>
        </is>
      </c>
    </row>
    <row r="40">
      <c r="A40" s="2">
        <f>HYPERLINK("https://www.imdb.com/title/tt0407887/?ref_=chttp_i_39", "The Departed")</f>
        <v/>
      </c>
      <c r="B40" t="n">
        <v>8.5</v>
      </c>
      <c r="D40" t="inlineStr">
        <is>
          <t>https://www.imdb.com/title/tt0407887/?ref_=chttp_i_39</t>
        </is>
      </c>
      <c r="E40" t="inlineStr">
        <is>
          <t>https://m.media-amazon.com/images/M/MV5BMTI1MTY2OTIxNV5BMl5BanBnXkFtZTYwNjQ4NjY3._V1_QL75_UY133_CR0,0,90,133_.jpg</t>
        </is>
      </c>
    </row>
    <row r="41">
      <c r="A41" s="2">
        <f>HYPERLINK("https://www.imdb.com/title/tt2582802/?ref_=chttp_i_40", "Whiplash")</f>
        <v/>
      </c>
      <c r="B41" t="n">
        <v>8.5</v>
      </c>
      <c r="D41" t="inlineStr">
        <is>
          <t>https://www.imdb.com/title/tt2582802/?ref_=chttp_i_40</t>
        </is>
      </c>
      <c r="E41" t="inlineStr">
        <is>
          <t>https://m.media-amazon.com/images/M/MV5BMDFjOWFkYzktYzhhMC00NmYyLTkwY2EtYjViMDhmNzg0OGFkXkEyXkFqcGc@._V1_QL75_UX90_CR0,0,90,133_.jpg</t>
        </is>
      </c>
    </row>
    <row r="42">
      <c r="A42" s="2">
        <f>HYPERLINK("https://www.imdb.com/title/tt6019206/?ref_=chttp_i_41", "Kill Bill: The Whole Bloody Affair")</f>
        <v/>
      </c>
      <c r="B42" t="n">
        <v>8.800000000000001</v>
      </c>
      <c r="D42" t="inlineStr">
        <is>
          <t>https://www.imdb.com/title/tt6019206/?ref_=chttp_i_41</t>
        </is>
      </c>
      <c r="E42" t="inlineStr">
        <is>
          <t>https://m.media-amazon.com/images/M/MV5BZDc2YzhkODAtZmRmZS00YzcxLWJkYWEtM2ZhZjY3MmMyZmJiXkEyXkFqcGc@._V1_QL75_UX90_CR0,1,90,133_.jpg</t>
        </is>
      </c>
    </row>
    <row r="43">
      <c r="A43" s="2">
        <f>HYPERLINK("https://www.imdb.com/title/tt0482571/?ref_=chttp_i_42", "The Prestige")</f>
        <v/>
      </c>
      <c r="B43" t="n">
        <v>8.5</v>
      </c>
      <c r="D43" t="inlineStr">
        <is>
          <t>https://www.imdb.com/title/tt0482571/?ref_=chttp_i_42</t>
        </is>
      </c>
      <c r="E43" t="inlineStr">
        <is>
          <t>https://m.media-amazon.com/images/M/MV5BMTM3MzQ5MjQ5OF5BMl5BanBnXkFtZTcwMTQ3NzMzMw@@._V1_QL75_UY133_CR0,0,90,133_.jpg</t>
        </is>
      </c>
    </row>
    <row r="44">
      <c r="A44" s="2">
        <f>HYPERLINK("https://www.imdb.com/title/tt0120586/?ref_=chttp_i_43", "American History X")</f>
        <v/>
      </c>
      <c r="B44" t="n">
        <v>8.5</v>
      </c>
      <c r="D44" t="inlineStr">
        <is>
          <t>https://www.imdb.com/title/tt0120586/?ref_=chttp_i_43</t>
        </is>
      </c>
      <c r="E44" t="inlineStr">
        <is>
          <t>https://m.media-amazon.com/images/M/MV5BMzhiOTQ0NDItOTg0Zi00OGVmLWE0OGEtMTI4NDM0NWMxZWU4XkEyXkFqcGc@._V1_QL75_UX90_CR0,0,90,133_.jpg</t>
        </is>
      </c>
    </row>
    <row r="45">
      <c r="A45" s="2">
        <f>HYPERLINK("https://www.imdb.com/title/tt0110413/?ref_=chttp_i_44", "Léon: The Professional")</f>
        <v/>
      </c>
      <c r="B45" t="n">
        <v>8.5</v>
      </c>
      <c r="D45" t="inlineStr">
        <is>
          <t>https://www.imdb.com/title/tt0110413/?ref_=chttp_i_44</t>
        </is>
      </c>
      <c r="E45" t="inlineStr">
        <is>
          <t>https://m.media-amazon.com/images/M/MV5BNGRkYTNhOWQtYmI0Ni00MjZhLWJmMzAtMTA2Mjg4NGNiNDU0XkEyXkFqcGc@._V1_QL75_UX90_CR0,0,90,133_.jpg</t>
        </is>
      </c>
    </row>
    <row r="46">
      <c r="A46" s="2">
        <f>HYPERLINK("https://www.imdb.com/title/tt9362722/?ref_=chttp_i_45", "Spider-Man: Across the Spider-Verse")</f>
        <v/>
      </c>
      <c r="B46" t="n">
        <v>8.5</v>
      </c>
      <c r="D46" t="inlineStr">
        <is>
          <t>https://www.imdb.com/title/tt9362722/?ref_=chttp_i_45</t>
        </is>
      </c>
      <c r="E46" t="inlineStr">
        <is>
          <t>https://m.media-amazon.com/images/M/MV5BNThiZjA3MjItZGY5Ni00ZmJhLWEwN2EtOTBlYTA4Y2E0M2ZmXkEyXkFqcGc@._V1_QL75_UX90_CR0,0,90,133_.jpg</t>
        </is>
      </c>
    </row>
    <row r="47">
      <c r="A47" s="2">
        <f>HYPERLINK("https://www.imdb.com/title/tt0095765/?ref_=chttp_i_46", "Cinema Paradiso")</f>
        <v/>
      </c>
      <c r="B47" t="n">
        <v>8.5</v>
      </c>
      <c r="D47" t="inlineStr">
        <is>
          <t>https://www.imdb.com/title/tt0095765/?ref_=chttp_i_46</t>
        </is>
      </c>
      <c r="E47" t="inlineStr">
        <is>
          <t>https://m.media-amazon.com/images/M/MV5BMTljNzc4YWEtYTZlMS00ODMyLWIwMTAtNWQxY2VkMDEwYTk5XkEyXkFqcGc@._V1_QL75_UX90_CR0,0,90,133_.jpg</t>
        </is>
      </c>
    </row>
    <row r="48">
      <c r="A48" s="2">
        <f>HYPERLINK("https://www.imdb.com/title/tt0034583/?ref_=chttp_i_47", "Casablanca")</f>
        <v/>
      </c>
      <c r="B48" t="n">
        <v>8.5</v>
      </c>
      <c r="D48" t="inlineStr">
        <is>
          <t>https://www.imdb.com/title/tt0034583/?ref_=chttp_i_47</t>
        </is>
      </c>
      <c r="E48" t="inlineStr">
        <is>
          <t>https://m.media-amazon.com/images/M/MV5BNWEzN2U1YTYtYTQyMS00NTVkLWE2NGQtZWFlMmM0MDNjMmRiXkEyXkFqcGc@._V1_QL75_UX90_CR0,1,90,133_.jpg</t>
        </is>
      </c>
    </row>
    <row r="49">
      <c r="A49" s="2">
        <f>HYPERLINK("https://www.imdb.com/title/tt1675434/?ref_=chttp_i_48", "The Intouchables")</f>
        <v/>
      </c>
      <c r="B49" t="n">
        <v>8.5</v>
      </c>
      <c r="D49" t="inlineStr">
        <is>
          <t>https://www.imdb.com/title/tt1675434/?ref_=chttp_i_48</t>
        </is>
      </c>
      <c r="E49" t="inlineStr">
        <is>
          <t>https://m.media-amazon.com/images/M/MV5BMTYxNDA3MDQwNl5BMl5BanBnXkFtZTcwNTU4Mzc1Nw@@._V1_QL75_UX90_CR0,0,90,133_.jpg</t>
        </is>
      </c>
    </row>
    <row r="50">
      <c r="A50" s="2">
        <f>HYPERLINK("https://www.imdb.com/title/tt0114814/?ref_=chttp_i_49", "The Usual Suspects")</f>
        <v/>
      </c>
      <c r="B50" t="n">
        <v>8.5</v>
      </c>
      <c r="D50" t="inlineStr">
        <is>
          <t>https://www.imdb.com/title/tt0114814/?ref_=chttp_i_49</t>
        </is>
      </c>
      <c r="E50" t="inlineStr">
        <is>
          <t>https://m.media-amazon.com/images/M/MV5BOTE5MDUxZDUtZWZmZC00NDVmLWFhOGQtNWI2YTc4NzY3MGQ0XkEyXkFqcGc@._V1_QL75_UX90_CR0,0,90,133_.jpg</t>
        </is>
      </c>
    </row>
    <row r="51">
      <c r="A51" s="2">
        <f>HYPERLINK("https://www.imdb.com/title/tt0078748/?ref_=chttp_i_50", "Alien")</f>
        <v/>
      </c>
      <c r="B51" t="n">
        <v>8.5</v>
      </c>
      <c r="D51" t="inlineStr">
        <is>
          <t>https://www.imdb.com/title/tt0078748/?ref_=chttp_i_50</t>
        </is>
      </c>
      <c r="E51" t="inlineStr">
        <is>
          <t>https://m.media-amazon.com/images/M/MV5BN2NhMDk2MmEtZDQzOC00MmY5LThhYzAtMDdjZGFjOGZjMjdjXkEyXkFqcGc@._V1_QL75_UX90_CR0,1,90,133_.jpg</t>
        </is>
      </c>
    </row>
    <row r="52">
      <c r="A52" s="2">
        <f>HYPERLINK("https://www.imdb.com/title/tt1853728/?ref_=chttp_i_51", "Django Unchained")</f>
        <v/>
      </c>
      <c r="B52" t="n">
        <v>8.5</v>
      </c>
      <c r="D52" t="inlineStr">
        <is>
          <t>https://www.imdb.com/title/tt1853728/?ref_=chttp_i_51</t>
        </is>
      </c>
      <c r="E52" t="inlineStr">
        <is>
          <t>https://m.media-amazon.com/images/M/MV5BMjIyNTQ5NjQ1OV5BMl5BanBnXkFtZTcwODg1MDU4OA@@._V1_QL75_UX90_CR0,0,90,133_.jpg</t>
        </is>
      </c>
    </row>
    <row r="53">
      <c r="A53" s="2">
        <f>HYPERLINK("https://www.imdb.com/title/tt0027977/?ref_=chttp_i_52", "Modern Times")</f>
        <v/>
      </c>
      <c r="B53" t="n">
        <v>8.5</v>
      </c>
      <c r="D53" t="inlineStr">
        <is>
          <t>https://www.imdb.com/title/tt0027977/?ref_=chttp_i_52</t>
        </is>
      </c>
      <c r="E53" t="inlineStr">
        <is>
          <t>https://m.media-amazon.com/images/M/MV5BMjA4MDU2NDQwN15BMl5BanBnXkFtZTgwODUwNDI2MzE@._V1_QL75_UX90_CR0,1,90,133_.jpg</t>
        </is>
      </c>
    </row>
    <row r="54">
      <c r="A54" s="2">
        <f>HYPERLINK("https://www.imdb.com/title/tt0047396/?ref_=chttp_i_53", "Rear Window")</f>
        <v/>
      </c>
      <c r="B54" t="n">
        <v>8.5</v>
      </c>
      <c r="D54" t="inlineStr">
        <is>
          <t>https://www.imdb.com/title/tt0047396/?ref_=chttp_i_53</t>
        </is>
      </c>
      <c r="E54" t="inlineStr">
        <is>
          <t>https://m.media-amazon.com/images/M/MV5BODZhOWI1ODgtMzdiOS00YjNkLTgwOGUtYmIyZDg5ZmQwMzQ1XkEyXkFqcGc@._V1_QL75_UY133_CR1,0,90,133_.jpg</t>
        </is>
      </c>
    </row>
    <row r="55">
      <c r="A55" s="2">
        <f>HYPERLINK("https://www.imdb.com/title/tt0064116/?ref_=chttp_i_54", "Once Upon a Time in the West")</f>
        <v/>
      </c>
      <c r="B55" t="n">
        <v>8.5</v>
      </c>
      <c r="D55" t="inlineStr">
        <is>
          <t>https://www.imdb.com/title/tt0064116/?ref_=chttp_i_54</t>
        </is>
      </c>
      <c r="E55" t="inlineStr">
        <is>
          <t>https://m.media-amazon.com/images/M/MV5BZjYyNGY1MDEtN2I1MC00MGVhLTljZTYtODQ1NzQ0ODc2NzZlXkEyXkFqcGc@._V1_QL75_UX90_CR0,1,90,133_.jpg</t>
        </is>
      </c>
    </row>
    <row r="56">
      <c r="A56" s="2">
        <f>HYPERLINK("https://www.imdb.com/title/tt0021749/?ref_=chttp_i_55", "City Lights")</f>
        <v/>
      </c>
      <c r="B56" t="n">
        <v>8.5</v>
      </c>
      <c r="D56" t="inlineStr">
        <is>
          <t>https://www.imdb.com/title/tt0021749/?ref_=chttp_i_55</t>
        </is>
      </c>
      <c r="E56" t="inlineStr">
        <is>
          <t>https://m.media-amazon.com/images/M/MV5BM2U4NjgzODUtODkyOC00YTE2LTlhNTItYzFlYmM1NTEzZDA2XkEyXkFqcGc@._V1_QL75_UX90_CR0,1,90,133_.jpg</t>
        </is>
      </c>
    </row>
    <row r="57">
      <c r="A57" s="2">
        <f>HYPERLINK("https://www.imdb.com/title/tt0078788/?ref_=chttp_i_56", "Apocalypse Now")</f>
        <v/>
      </c>
      <c r="B57" t="n">
        <v>8.4</v>
      </c>
      <c r="D57" t="inlineStr">
        <is>
          <t>https://www.imdb.com/title/tt0078788/?ref_=chttp_i_56</t>
        </is>
      </c>
      <c r="E57" t="inlineStr">
        <is>
          <t>https://m.media-amazon.com/images/M/MV5BZDhiMTljYjYtODc1Yy00MmEwLTg2OTYtYmE1YTRmNDE4MmEwXkEyXkFqcGc@._V1_QL75_UX90_CR0,2,90,133_.jpg</t>
        </is>
      </c>
    </row>
    <row r="58">
      <c r="A58" s="2">
        <f>HYPERLINK("https://www.imdb.com/title/tt0910970/?ref_=chttp_i_57", "WALL·E")</f>
        <v/>
      </c>
      <c r="B58" t="n">
        <v>8.4</v>
      </c>
      <c r="D58" t="inlineStr">
        <is>
          <t>https://www.imdb.com/title/tt0910970/?ref_=chttp_i_57</t>
        </is>
      </c>
      <c r="E58" t="inlineStr">
        <is>
          <t>https://m.media-amazon.com/images/M/MV5BMjExMTg5OTU0NF5BMl5BanBnXkFtZTcwMjMxMzMzMw@@._V1_QL75_UX90_CR0,0,90,133_.jpg</t>
        </is>
      </c>
    </row>
    <row r="59">
      <c r="A59" s="2">
        <f>HYPERLINK("https://www.imdb.com/title/tt0209144/?ref_=chttp_i_58", "Memento")</f>
        <v/>
      </c>
      <c r="B59" t="n">
        <v>8.4</v>
      </c>
      <c r="D59" t="inlineStr">
        <is>
          <t>https://www.imdb.com/title/tt0209144/?ref_=chttp_i_58</t>
        </is>
      </c>
      <c r="E59" t="inlineStr">
        <is>
          <t>https://m.media-amazon.com/images/M/MV5BMGQ3Y2Q4NjktN2E4Ny00Y2Q2LTliZDUtZTNiNjRhY2I0NGIyXkEyXkFqcGc@._V1_QL75_UX90_CR0,1,90,133_.jpg</t>
        </is>
      </c>
    </row>
    <row r="60">
      <c r="A60" s="2">
        <f>HYPERLINK("https://www.imdb.com/title/tt15239678/?ref_=chttp_i_59", "Dune: Part Two")</f>
        <v/>
      </c>
      <c r="B60" t="n">
        <v>8.4</v>
      </c>
      <c r="D60" t="inlineStr">
        <is>
          <t>https://www.imdb.com/title/tt15239678/?ref_=chttp_i_59</t>
        </is>
      </c>
      <c r="E60" t="inlineStr">
        <is>
          <t>https://m.media-amazon.com/images/M/MV5BNTc0YmQxMjEtODI5MC00NjFiLTlkMWUtOGQ5NjFmYWUyZGJhXkEyXkFqcGc@._V1_QL75_UX90_CR0,0,90,133_.jpg</t>
        </is>
      </c>
    </row>
    <row r="61">
      <c r="A61" s="2">
        <f>HYPERLINK("https://www.imdb.com/title/tt0082971/?ref_=chttp_i_60", "Raiders of the Lost Ark")</f>
        <v/>
      </c>
      <c r="B61" t="n">
        <v>8.4</v>
      </c>
      <c r="D61" t="inlineStr">
        <is>
          <t>https://www.imdb.com/title/tt0082971/?ref_=chttp_i_60</t>
        </is>
      </c>
      <c r="E61" t="inlineStr">
        <is>
          <t>https://m.media-amazon.com/images/M/MV5BOGNhMjg2ZjgtYzk4Ni00MTViLTg1MmUtYzM2MDZiYjZlMmU3XkEyXkFqcGc@._V1_QL75_UY133_CR0,0,90,133_.jpg</t>
        </is>
      </c>
    </row>
    <row r="62">
      <c r="A62" s="2">
        <f>HYPERLINK("https://www.imdb.com/title/tt4154756/?ref_=chttp_i_61", "Avengers: Infinity War")</f>
        <v/>
      </c>
      <c r="B62" t="n">
        <v>8.4</v>
      </c>
      <c r="D62" t="inlineStr">
        <is>
          <t>https://www.imdb.com/title/tt4154756/?ref_=chttp_i_61</t>
        </is>
      </c>
      <c r="E62" t="inlineStr">
        <is>
          <t>https://m.media-amazon.com/images/M/MV5BMjMxNjY2MDU1OV5BMl5BanBnXkFtZTgwNzY1MTUwNTM@._V1_QL75_UX90_CR0,0,90,133_.jpg</t>
        </is>
      </c>
    </row>
    <row r="63">
      <c r="A63" s="2">
        <f>HYPERLINK("https://www.imdb.com/title/tt0405094/?ref_=chttp_i_62", "The Lives of Others")</f>
        <v/>
      </c>
      <c r="B63" t="n">
        <v>8.4</v>
      </c>
      <c r="D63" t="inlineStr">
        <is>
          <t>https://www.imdb.com/title/tt0405094/?ref_=chttp_i_62</t>
        </is>
      </c>
      <c r="E63" t="inlineStr">
        <is>
          <t>https://m.media-amazon.com/images/M/MV5BYjM1N2Q0YWEtN2E5MC00NDM3LTk2NTEtMTc1NTk5OTA5ZGIzXkEyXkFqcGc@._V1_QL75_UX90_CR0,0,90,133_.jpg</t>
        </is>
      </c>
    </row>
    <row r="64">
      <c r="A64" s="2">
        <f>HYPERLINK("https://www.imdb.com/title/tt4633694/?ref_=chttp_i_63", "Spider-Man: Into the Spider-Verse")</f>
        <v/>
      </c>
      <c r="B64" t="n">
        <v>8.4</v>
      </c>
      <c r="D64" t="inlineStr">
        <is>
          <t>https://www.imdb.com/title/tt4633694/?ref_=chttp_i_63</t>
        </is>
      </c>
      <c r="E64" t="inlineStr">
        <is>
          <t>https://m.media-amazon.com/images/M/MV5BMjMwNDkxMTgzOF5BMl5BanBnXkFtZTgwNTkwNTQ3NjM@._V1_QL75_UX90_CR0,0,90,133_.jpg</t>
        </is>
      </c>
    </row>
    <row r="65">
      <c r="A65" s="2">
        <f>HYPERLINK("https://www.imdb.com/title/tt0043014/?ref_=chttp_i_64", "Sunset Boulevard")</f>
        <v/>
      </c>
      <c r="B65" t="n">
        <v>8.4</v>
      </c>
      <c r="D65" t="inlineStr">
        <is>
          <t>https://www.imdb.com/title/tt0043014/?ref_=chttp_i_64</t>
        </is>
      </c>
      <c r="E65" t="inlineStr">
        <is>
          <t>https://m.media-amazon.com/images/M/MV5BMTU0NTkyNzYwMF5BMl5BanBnXkFtZTgwMDU0NDk5MTI@._V1_QL75_UX90_CR0,1,90,133_.jpg</t>
        </is>
      </c>
    </row>
    <row r="66">
      <c r="A66" s="2">
        <f>HYPERLINK("https://www.imdb.com/title/tt0051201/?ref_=chttp_i_65", "Witness for the Prosecution")</f>
        <v/>
      </c>
      <c r="B66" t="n">
        <v>8.4</v>
      </c>
      <c r="D66" t="inlineStr">
        <is>
          <t>https://www.imdb.com/title/tt0051201/?ref_=chttp_i_65</t>
        </is>
      </c>
      <c r="E66" t="inlineStr">
        <is>
          <t>https://m.media-amazon.com/images/M/MV5BNjRhNTQzMzQtMWViMi00ODQ1LTg0MTEtYWE4ZWZlYjM4YjJhXkEyXkFqcGc@._V1_QL75_UX90_CR0,2,90,133_.jpg</t>
        </is>
      </c>
    </row>
    <row r="67">
      <c r="A67" s="2">
        <f>HYPERLINK("https://www.imdb.com/title/tt0050825/?ref_=chttp_i_66", "Paths of Glory")</f>
        <v/>
      </c>
      <c r="B67" t="n">
        <v>8.4</v>
      </c>
      <c r="D67" t="inlineStr">
        <is>
          <t>https://www.imdb.com/title/tt0050825/?ref_=chttp_i_66</t>
        </is>
      </c>
      <c r="E67" t="inlineStr">
        <is>
          <t>https://m.media-amazon.com/images/M/MV5BNmQ2NmI2ODYtMDQzNS00NzQyLTkzZjgtZmZlYTQ5MTc1OWU3XkEyXkFqcGc@._V1_QL75_UX90_CR0,2,90,133_.jpg</t>
        </is>
      </c>
    </row>
    <row r="68">
      <c r="A68" s="2">
        <f>HYPERLINK("https://www.imdb.com/title/tt0081505/?ref_=chttp_i_67", "The Shining")</f>
        <v/>
      </c>
      <c r="B68" t="n">
        <v>8.4</v>
      </c>
      <c r="D68" t="inlineStr">
        <is>
          <t>https://www.imdb.com/title/tt0081505/?ref_=chttp_i_67</t>
        </is>
      </c>
      <c r="E68" t="inlineStr">
        <is>
          <t>https://m.media-amazon.com/images/M/MV5BNmM5ZThhY2ItOGRjOS00NzZiLWEwYTItNDgyMjFkOTgxMmRiXkEyXkFqcGc@._V1_QL75_UX90_CR0,2,90,133_.jpg</t>
        </is>
      </c>
    </row>
    <row r="69">
      <c r="A69" s="2">
        <f>HYPERLINK("https://www.imdb.com/title/tt0032553/?ref_=chttp_i_68", "The Great Dictator")</f>
        <v/>
      </c>
      <c r="B69" t="n">
        <v>8.4</v>
      </c>
      <c r="D69" t="inlineStr">
        <is>
          <t>https://www.imdb.com/title/tt0032553/?ref_=chttp_i_68</t>
        </is>
      </c>
      <c r="E69" t="inlineStr">
        <is>
          <t>https://m.media-amazon.com/images/M/MV5BMjc4ZjEwNDUtMjlmZS00NzQ4LTg2N2MtMGI3ZjMyMmM3ZDM2XkEyXkFqcGc@._V1_QL75_UX90_CR0,0,90,133_.jpg</t>
        </is>
      </c>
    </row>
    <row r="70">
      <c r="A70" s="2">
        <f>HYPERLINK("https://www.imdb.com/title/tt0361748/?ref_=chttp_i_69", "Inglourious Basterds")</f>
        <v/>
      </c>
      <c r="B70" t="n">
        <v>8.4</v>
      </c>
      <c r="D70" t="inlineStr">
        <is>
          <t>https://www.imdb.com/title/tt0361748/?ref_=chttp_i_69</t>
        </is>
      </c>
      <c r="E70" t="inlineStr">
        <is>
          <t>https://m.media-amazon.com/images/M/MV5BODZhMWJlNjYtNDExNC00MTIzLTllM2ItOGQ2NGVjNDQ3MzkzXkEyXkFqcGc@._V1_QL75_UX90_CR0,0,90,133_.jpg</t>
        </is>
      </c>
    </row>
    <row r="71">
      <c r="A71" s="2">
        <f>HYPERLINK("https://www.imdb.com/title/tt23849204/?ref_=chttp_i_70", "12th Fail")</f>
        <v/>
      </c>
      <c r="B71" t="n">
        <v>8.699999999999999</v>
      </c>
      <c r="D71" t="inlineStr">
        <is>
          <t>https://www.imdb.com/title/tt23849204/?ref_=chttp_i_70</t>
        </is>
      </c>
      <c r="E71" t="inlineStr">
        <is>
          <t>https://m.media-amazon.com/images/M/MV5BNTE3OTIxZDYtNjA0NC00N2YxLTg1NGQtOTYxNmZkMDkwOWNjXkEyXkFqcGc@._V1_QL75_UY133_CR6,0,90,133_.jpg</t>
        </is>
      </c>
    </row>
    <row r="72">
      <c r="A72" s="2">
        <f>HYPERLINK("https://www.imdb.com/title/tt0090605/?ref_=chttp_i_71", "Aliens")</f>
        <v/>
      </c>
      <c r="B72" t="n">
        <v>8.4</v>
      </c>
      <c r="D72" t="inlineStr">
        <is>
          <t>https://www.imdb.com/title/tt0090605/?ref_=chttp_i_71</t>
        </is>
      </c>
      <c r="E72" t="inlineStr">
        <is>
          <t>https://m.media-amazon.com/images/M/MV5BZjIyNGJhYzYtN2I1My00OTVhLWEyMzItZTVjNDMzOTVkYWViXkEyXkFqcGc@._V1_QL75_UX90_CR0,1,90,133_.jpg</t>
        </is>
      </c>
    </row>
    <row r="73">
      <c r="A73" s="2">
        <f>HYPERLINK("https://www.imdb.com/title/tt0057565/?ref_=chttp_i_72", "High and Low")</f>
        <v/>
      </c>
      <c r="B73" t="n">
        <v>8.4</v>
      </c>
      <c r="D73" t="inlineStr">
        <is>
          <t>https://www.imdb.com/title/tt0057565/?ref_=chttp_i_72</t>
        </is>
      </c>
      <c r="E73" t="inlineStr">
        <is>
          <t>https://m.media-amazon.com/images/M/MV5BMGJiNzllYjktODAzNS00OGUzLTlmY2MtMjA2ZTZhYTY1OTc4XkEyXkFqcGc@._V1_QL75_UX90_CR0,1,90,133_.jpg</t>
        </is>
      </c>
    </row>
    <row r="74">
      <c r="A74" s="2">
        <f>HYPERLINK("https://www.imdb.com/title/tt0119217/?ref_=chttp_i_73", "Good Will Hunting")</f>
        <v/>
      </c>
      <c r="B74" t="n">
        <v>8.4</v>
      </c>
      <c r="D74" t="inlineStr">
        <is>
          <t>https://www.imdb.com/title/tt0119217/?ref_=chttp_i_73</t>
        </is>
      </c>
      <c r="E74" t="inlineStr">
        <is>
          <t>https://m.media-amazon.com/images/M/MV5BNDdjZGQ5YzEtNTc2My00Mjc0LWFlMTctYzkwMzZlNzdiZWYzXkEyXkFqcGc@._V1_QL75_UX90_CR0,2,90,133_.jpg</t>
        </is>
      </c>
    </row>
    <row r="75">
      <c r="A75" s="2">
        <f>HYPERLINK("https://www.imdb.com/title/tt4154796/?ref_=chttp_i_74", "Avengers: Endgame")</f>
        <v/>
      </c>
      <c r="B75" t="n">
        <v>8.4</v>
      </c>
      <c r="D75" t="inlineStr">
        <is>
          <t>https://www.imdb.com/title/tt4154796/?ref_=chttp_i_74</t>
        </is>
      </c>
      <c r="E75" t="inlineStr">
        <is>
          <t>https://m.media-amazon.com/images/M/MV5BMTc5MDE2ODcwNV5BMl5BanBnXkFtZTgwMzI2NzQ2NzM@._V1_QL75_UX90_CR0,0,90,133_.jpg</t>
        </is>
      </c>
    </row>
    <row r="76">
      <c r="A76" s="2">
        <f>HYPERLINK("https://www.imdb.com/title/tt1345836/?ref_=chttp_i_75", "The Dark Knight Rises")</f>
        <v/>
      </c>
      <c r="B76" t="n">
        <v>8.4</v>
      </c>
      <c r="D76" t="inlineStr">
        <is>
          <t>https://www.imdb.com/title/tt1345836/?ref_=chttp_i_75</t>
        </is>
      </c>
      <c r="E76" t="inlineStr">
        <is>
          <t>https://m.media-amazon.com/images/M/MV5BMTk4ODQzNDY3Ml5BMl5BanBnXkFtZTcwODA0NTM4Nw@@._V1_QL75_UX90_CR0,0,90,133_.jpg</t>
        </is>
      </c>
    </row>
    <row r="77">
      <c r="A77" s="2">
        <f>HYPERLINK("https://www.imdb.com/title/tt2380307/?ref_=chttp_i_76", "Coco")</f>
        <v/>
      </c>
      <c r="B77" t="n">
        <v>8.4</v>
      </c>
      <c r="D77" t="inlineStr">
        <is>
          <t>https://www.imdb.com/title/tt2380307/?ref_=chttp_i_76</t>
        </is>
      </c>
      <c r="E77" t="inlineStr">
        <is>
          <t>https://m.media-amazon.com/images/M/MV5BMDIyM2E2NTAtMzlhNy00ZGUxLWI1NjgtZDY5MzhiMDc5NGU3XkEyXkFqcGc@._V1_QL75_UY133_CR2,0,90,133_.jpg</t>
        </is>
      </c>
    </row>
    <row r="78">
      <c r="A78" s="2">
        <f>HYPERLINK("https://www.imdb.com/title/tt0086879/?ref_=chttp_i_77", "Amadeus")</f>
        <v/>
      </c>
      <c r="B78" t="n">
        <v>8.4</v>
      </c>
      <c r="D78" t="inlineStr">
        <is>
          <t>https://www.imdb.com/title/tt0086879/?ref_=chttp_i_77</t>
        </is>
      </c>
      <c r="E78" t="inlineStr">
        <is>
          <t>https://m.media-amazon.com/images/M/MV5BMzc2MjM0NTMtOGY4NC00NzY1LWE2ODUtZjMzY2RhNGNkZDAyXkEyXkFqcGc@._V1_QL75_UX90_CR0,3,90,133_.jpg</t>
        </is>
      </c>
    </row>
    <row r="79">
      <c r="A79" s="2">
        <f>HYPERLINK("https://www.imdb.com/title/tt0114709/?ref_=chttp_i_78", "Toy Story")</f>
        <v/>
      </c>
      <c r="B79" t="n">
        <v>8.300000000000001</v>
      </c>
      <c r="D79" t="inlineStr">
        <is>
          <t>https://www.imdb.com/title/tt0114709/?ref_=chttp_i_78</t>
        </is>
      </c>
      <c r="E79" t="inlineStr">
        <is>
          <t>https://m.media-amazon.com/images/M/MV5BZTA3OWVjOWItNjE1NS00NzZiLWE1MjgtZDZhMWI1ZTlkNzYwXkEyXkFqcGc@._V1_QL75_UX90_CR0,0,90,133_.jpg</t>
        </is>
      </c>
    </row>
    <row r="80">
      <c r="A80" s="2">
        <f>HYPERLINK("https://www.imdb.com/title/tt5311514/?ref_=chttp_i_79", "Your Name.")</f>
        <v/>
      </c>
      <c r="B80" t="n">
        <v>8.4</v>
      </c>
      <c r="D80" t="inlineStr">
        <is>
          <t>https://www.imdb.com/title/tt5311514/?ref_=chttp_i_79</t>
        </is>
      </c>
      <c r="E80" t="inlineStr">
        <is>
          <t>https://m.media-amazon.com/images/M/MV5BMjI1ODZkYTgtYTY3Yy00ZTJkLWFkOTgtZDUyYWM4MzQwNjk0XkEyXkFqcGc@._V1_QL75_UX90_CR0,0,90,133_.jpg</t>
        </is>
      </c>
    </row>
    <row r="81">
      <c r="A81" s="2">
        <f>HYPERLINK("https://www.imdb.com/title/tt0082096/?ref_=chttp_i_80", "Das Boot")</f>
        <v/>
      </c>
      <c r="B81" t="n">
        <v>8.300000000000001</v>
      </c>
      <c r="D81" t="inlineStr">
        <is>
          <t>https://www.imdb.com/title/tt0082096/?ref_=chttp_i_80</t>
        </is>
      </c>
      <c r="E81" t="inlineStr">
        <is>
          <t>https://m.media-amazon.com/images/M/MV5BNGU0MWZlMTUtM2Y3Ny00NGNmLWE5NmEtN2YxOWQzMGM3ZWYzXkEyXkFqcGc@._V1_QL75_UX90_CR0,2,90,133_.jpg</t>
        </is>
      </c>
    </row>
    <row r="82">
      <c r="A82" s="2">
        <f>HYPERLINK("https://www.imdb.com/title/tt0364569/?ref_=chttp_i_81", "Oldboy")</f>
        <v/>
      </c>
      <c r="B82" t="n">
        <v>8.300000000000001</v>
      </c>
      <c r="D82" t="inlineStr">
        <is>
          <t>https://www.imdb.com/title/tt0364569/?ref_=chttp_i_81</t>
        </is>
      </c>
      <c r="E82" t="inlineStr">
        <is>
          <t>https://m.media-amazon.com/images/M/MV5BMTAwNzNjYWItZmI0Ni00ZTcyLWIwNWMtZjlmNGMxZTEyYTJmXkEyXkFqcGc@._V1_QL75_UX90_CR0,1,90,133_.jpg</t>
        </is>
      </c>
    </row>
    <row r="83">
      <c r="A83" s="2">
        <f>HYPERLINK("https://www.imdb.com/title/tt0112573/?ref_=chttp_i_82", "Braveheart")</f>
        <v/>
      </c>
      <c r="B83" t="n">
        <v>8.300000000000001</v>
      </c>
      <c r="D83" t="inlineStr">
        <is>
          <t>https://www.imdb.com/title/tt0112573/?ref_=chttp_i_82</t>
        </is>
      </c>
      <c r="E83" t="inlineStr">
        <is>
          <t>https://m.media-amazon.com/images/M/MV5BNGMxZDBhNGQtYTZlNi00N2UzLWI4NDEtNmUzNWM2NTdmZDA0XkEyXkFqcGc@._V1_QL75_UY133_CR0,0,90,133_.jpg</t>
        </is>
      </c>
    </row>
    <row r="84">
      <c r="A84" s="2">
        <f>HYPERLINK("https://www.imdb.com/title/tt0119698/?ref_=chttp_i_83", "Princess Mononoke")</f>
        <v/>
      </c>
      <c r="B84" t="n">
        <v>8.300000000000001</v>
      </c>
      <c r="D84" t="inlineStr">
        <is>
          <t>https://www.imdb.com/title/tt0119698/?ref_=chttp_i_83</t>
        </is>
      </c>
      <c r="E84" t="inlineStr">
        <is>
          <t>https://m.media-amazon.com/images/M/MV5BZTcyN2Y0MDYtMGI1NC00MWQ1LWFhZGMtN2U4NTcxZGYyNjljXkEyXkFqcGc@._V1_QL75_UX90_CR0,1,90,133_.jpg</t>
        </is>
      </c>
    </row>
    <row r="85">
      <c r="A85" s="2">
        <f>HYPERLINK("https://www.imdb.com/title/tt0057012/?ref_=chttp_i_84", "Dr. Strangelove or: How I Learned to Stop Worrying and Love the Bomb")</f>
        <v/>
      </c>
      <c r="B85" t="n">
        <v>8.300000000000001</v>
      </c>
      <c r="D85" t="inlineStr">
        <is>
          <t>https://www.imdb.com/title/tt0057012/?ref_=chttp_i_84</t>
        </is>
      </c>
      <c r="E85" t="inlineStr">
        <is>
          <t>https://m.media-amazon.com/images/M/MV5BMjFjYzBlOTktMTI2OS00ZWVhLTgxMDUtNzAwODY2NmI3YTAzXkEyXkFqcGc@._V1_QL75_UX90_CR0,3,90,133_.jpg</t>
        </is>
      </c>
    </row>
    <row r="86">
      <c r="A86" s="2">
        <f>HYPERLINK("https://www.imdb.com/title/tt1187043/?ref_=chttp_i_85", "3 Idiots")</f>
        <v/>
      </c>
      <c r="B86" t="n">
        <v>8.4</v>
      </c>
      <c r="D86" t="inlineStr">
        <is>
          <t>https://www.imdb.com/title/tt1187043/?ref_=chttp_i_85</t>
        </is>
      </c>
      <c r="E86" t="inlineStr">
        <is>
          <t>https://m.media-amazon.com/images/M/MV5BNzc4ZWQ3NmYtODE0Ny00YTQ4LTlkZWItNTBkMGQ0MmUwMmJlXkEyXkFqcGc@._V1_QL75_UY133_CR1,0,90,133_.jpg</t>
        </is>
      </c>
    </row>
    <row r="87">
      <c r="A87" s="2">
        <f>HYPERLINK("https://www.imdb.com/title/tt0169547/?ref_=chttp_i_86", "American Beauty")</f>
        <v/>
      </c>
      <c r="B87" t="n">
        <v>8.300000000000001</v>
      </c>
      <c r="D87" t="inlineStr">
        <is>
          <t>https://www.imdb.com/title/tt0169547/?ref_=chttp_i_86</t>
        </is>
      </c>
      <c r="E87" t="inlineStr">
        <is>
          <t>https://m.media-amazon.com/images/M/MV5BMDI1MDE0OTMtMmI2MS00Yjc2LTg2MTItMWExYTg5NzA1OGUzXkEyXkFqcGc@._V1_QL75_UX90_CR0,0,90,133_.jpg</t>
        </is>
      </c>
    </row>
    <row r="88">
      <c r="A88" s="2">
        <f>HYPERLINK("https://www.imdb.com/title/tt8267604/?ref_=chttp_i_87", "Capernaum")</f>
        <v/>
      </c>
      <c r="B88" t="n">
        <v>8.4</v>
      </c>
      <c r="D88" t="inlineStr">
        <is>
          <t>https://www.imdb.com/title/tt8267604/?ref_=chttp_i_87</t>
        </is>
      </c>
      <c r="E88" t="inlineStr">
        <is>
          <t>https://m.media-amazon.com/images/M/MV5BYzEyMzQ1OTktZTljZi00OWQzLWE2ZmUtZjQyNzBjYjE1NTc0XkEyXkFqcGc@._V1_QL75_UY133_CR0,0,90,133_.jpg</t>
        </is>
      </c>
    </row>
    <row r="89">
      <c r="A89" s="2">
        <f>HYPERLINK("https://www.imdb.com/title/tt0045152/?ref_=chttp_i_88", "Singin' in the Rain")</f>
        <v/>
      </c>
      <c r="B89" t="n">
        <v>8.300000000000001</v>
      </c>
      <c r="D89" t="inlineStr">
        <is>
          <t>https://www.imdb.com/title/tt0045152/?ref_=chttp_i_88</t>
        </is>
      </c>
      <c r="E89" t="inlineStr">
        <is>
          <t>https://m.media-amazon.com/images/M/MV5BMGQzZDFjZWUtZDU4ZS00ZjM3LTgyYmItYjA3YmIwYzRkZWY3XkEyXkFqcGc@._V1_QL75_UY133_CR1,0,90,133_.jpg</t>
        </is>
      </c>
    </row>
    <row r="90">
      <c r="A90" s="2">
        <f>HYPERLINK("https://www.imdb.com/title/tt7286456/?ref_=chttp_i_89", "Joker")</f>
        <v/>
      </c>
      <c r="B90" t="n">
        <v>8.300000000000001</v>
      </c>
      <c r="D90" t="inlineStr">
        <is>
          <t>https://www.imdb.com/title/tt7286456/?ref_=chttp_i_89</t>
        </is>
      </c>
      <c r="E90" t="inlineStr">
        <is>
          <t>https://m.media-amazon.com/images/M/MV5BNzY3OWQ5NDktNWQ2OC00ZjdlLThkMmItMDhhNDk3NTFiZGU4XkEyXkFqcGc@._V1_QL75_UX90_CR0,0,90,133_.jpg</t>
        </is>
      </c>
    </row>
    <row r="91">
      <c r="A91" s="2">
        <f>HYPERLINK("https://www.imdb.com/title/tt0087843/?ref_=chttp_i_90", "Once Upon a Time in America")</f>
        <v/>
      </c>
      <c r="B91" t="n">
        <v>8.300000000000001</v>
      </c>
      <c r="D91" t="inlineStr">
        <is>
          <t>https://www.imdb.com/title/tt0087843/?ref_=chttp_i_90</t>
        </is>
      </c>
      <c r="E91" t="inlineStr">
        <is>
          <t>https://m.media-amazon.com/images/M/MV5BMDQ0ZTg2OGUtZjMyOC00M2M5LThkMmItZmM2MmUzMmIxMWJhXkEyXkFqcGc@._V1_QL75_UX90_CR0,1,90,133_.jpg</t>
        </is>
      </c>
    </row>
    <row r="92">
      <c r="A92" s="2">
        <f>HYPERLINK("https://www.imdb.com/title/tt0091251/?ref_=chttp_i_91", "Come and See")</f>
        <v/>
      </c>
      <c r="B92" t="n">
        <v>8.300000000000001</v>
      </c>
      <c r="D92" t="inlineStr">
        <is>
          <t>https://www.imdb.com/title/tt0091251/?ref_=chttp_i_91</t>
        </is>
      </c>
      <c r="E92" t="inlineStr">
        <is>
          <t>https://m.media-amazon.com/images/M/MV5BNDlkZmVkZDAtZGFmMS00OWIzLWJkY2YtNWE5NjNhNjhiZGE3XkEyXkFqcGc@._V1_QL75_UX90_CR0,2,90,133_.jpg</t>
        </is>
      </c>
    </row>
    <row r="93">
      <c r="A93" s="2">
        <f>HYPERLINK("https://www.imdb.com/title/tt0086190/?ref_=chttp_i_92", "Star Wars: Episode VI - Return of the Jedi")</f>
        <v/>
      </c>
      <c r="B93" t="n">
        <v>8.300000000000001</v>
      </c>
      <c r="D93" t="inlineStr">
        <is>
          <t>https://www.imdb.com/title/tt0086190/?ref_=chttp_i_92</t>
        </is>
      </c>
      <c r="E93" t="inlineStr">
        <is>
          <t>https://m.media-amazon.com/images/M/MV5BNWEwOTI0MmUtMGNmNy00ODViLTlkZDQtZTg1YmQ3MDgyNTUzXkEyXkFqcGc@._V1_QL75_UX90_CR0,3,90,133_.jpg</t>
        </is>
      </c>
    </row>
    <row r="94">
      <c r="A94" s="2">
        <f>HYPERLINK("https://www.imdb.com/title/tt0180093/?ref_=chttp_i_93", "Requiem for a Dream")</f>
        <v/>
      </c>
      <c r="B94" t="n">
        <v>8.300000000000001</v>
      </c>
      <c r="D94" t="inlineStr">
        <is>
          <t>https://www.imdb.com/title/tt0180093/?ref_=chttp_i_93</t>
        </is>
      </c>
      <c r="E94" t="inlineStr">
        <is>
          <t>https://m.media-amazon.com/images/M/MV5BN2ZlMjIzZjctYzA2My00ZWYyLWI4ZjctMGI2NWYyNzFiZjAwXkEyXkFqcGc@._V1_QL75_UX90_CR0,1,90,133_.jpg</t>
        </is>
      </c>
    </row>
    <row r="95">
      <c r="A95" s="2">
        <f>HYPERLINK("https://www.imdb.com/title/tt0435761/?ref_=chttp_i_94", "Toy Story 3")</f>
        <v/>
      </c>
      <c r="B95" t="n">
        <v>8.300000000000001</v>
      </c>
      <c r="D95" t="inlineStr">
        <is>
          <t>https://www.imdb.com/title/tt0435761/?ref_=chttp_i_94</t>
        </is>
      </c>
      <c r="E95" t="inlineStr">
        <is>
          <t>https://m.media-amazon.com/images/M/MV5BMTgxOTY4Mjc0MF5BMl5BanBnXkFtZTcwNTA4MDQyMw@@._V1_QL75_UY133_CR2,0,90,133_.jpg</t>
        </is>
      </c>
    </row>
    <row r="96">
      <c r="A96" s="2">
        <f>HYPERLINK("https://www.imdb.com/title/tt0044741/?ref_=chttp_i_95", "Ikiru")</f>
        <v/>
      </c>
      <c r="B96" t="n">
        <v>8.300000000000001</v>
      </c>
      <c r="D96" t="inlineStr">
        <is>
          <t>https://www.imdb.com/title/tt0044741/?ref_=chttp_i_95</t>
        </is>
      </c>
      <c r="E96" t="inlineStr">
        <is>
          <t>https://m.media-amazon.com/images/M/MV5BMmNlZTk4ZjQtY2I5NS00NmNiLTlkNmUtYTc3YmE0ZTk3OGNiXkEyXkFqcGc@._V1_QL75_UY133_CR3,0,90,133_.jpg</t>
        </is>
      </c>
    </row>
    <row r="97">
      <c r="A97" s="2">
        <f>HYPERLINK("https://www.imdb.com/title/tt2106476/?ref_=chttp_i_96", "The Hunt")</f>
        <v/>
      </c>
      <c r="B97" t="n">
        <v>8.300000000000001</v>
      </c>
      <c r="D97" t="inlineStr">
        <is>
          <t>https://www.imdb.com/title/tt2106476/?ref_=chttp_i_96</t>
        </is>
      </c>
      <c r="E97" t="inlineStr">
        <is>
          <t>https://m.media-amazon.com/images/M/MV5BMTg2NDg3ODg4NF5BMl5BanBnXkFtZTcwNzk3NTc3Nw@@._V1_QL75_UY133_CR2,0,90,133_.jpg</t>
        </is>
      </c>
    </row>
    <row r="98">
      <c r="A98" s="2">
        <f>HYPERLINK("https://www.imdb.com/title/tt1255953/?ref_=chttp_i_97", "Incendies")</f>
        <v/>
      </c>
      <c r="B98" t="n">
        <v>8.300000000000001</v>
      </c>
      <c r="D98" t="inlineStr">
        <is>
          <t>https://www.imdb.com/title/tt1255953/?ref_=chttp_i_97</t>
        </is>
      </c>
      <c r="E98" t="inlineStr">
        <is>
          <t>https://m.media-amazon.com/images/M/MV5BYWFmMjdmNjctNzhhOC00ZmMzLTkwOGItMmVmZDU4MjE2MTYwXkEyXkFqcGc@._V1_QL75_UX90_CR0,1,90,133_.jpg</t>
        </is>
      </c>
    </row>
    <row r="99">
      <c r="A99" s="2">
        <f>HYPERLINK("https://www.imdb.com/title/tt0338013/?ref_=chttp_i_98", "Eternal Sunshine of the Spotless Mind")</f>
        <v/>
      </c>
      <c r="B99" t="n">
        <v>8.300000000000001</v>
      </c>
      <c r="D99" t="inlineStr">
        <is>
          <t>https://www.imdb.com/title/tt0338013/?ref_=chttp_i_98</t>
        </is>
      </c>
      <c r="E99" t="inlineStr">
        <is>
          <t>https://m.media-amazon.com/images/M/MV5BMTY4NzcwODg3Nl5BMl5BanBnXkFtZTcwNTEwOTMyMw@@._V1_QL75_UX90_CR0,0,90,133_.jpg</t>
        </is>
      </c>
    </row>
    <row r="100">
      <c r="A100" s="2">
        <f>HYPERLINK("https://www.imdb.com/title/tt0053604/?ref_=chttp_i_99", "The Apartment")</f>
        <v/>
      </c>
      <c r="B100" t="n">
        <v>8.300000000000001</v>
      </c>
      <c r="D100" t="inlineStr">
        <is>
          <t>https://www.imdb.com/title/tt0053604/?ref_=chttp_i_99</t>
        </is>
      </c>
      <c r="E100" t="inlineStr">
        <is>
          <t>https://m.media-amazon.com/images/M/MV5BNDdhMzVhOWQtNDU2Mi00ZmZmLWJiZDMtY2QxMjhjY2Y1ZTI5XkEyXkFqcGc@._V1_QL75_UX90_CR0,4,90,133_.jpg</t>
        </is>
      </c>
    </row>
    <row r="101">
      <c r="A101" s="2">
        <f>HYPERLINK("https://www.imdb.com/title/tt0056172/?ref_=chttp_i_100", "Lawrence of Arabia")</f>
        <v/>
      </c>
      <c r="B101" t="n">
        <v>8.300000000000001</v>
      </c>
      <c r="D101" t="inlineStr">
        <is>
          <t>https://www.imdb.com/title/tt0056172/?ref_=chttp_i_100</t>
        </is>
      </c>
      <c r="E101" t="inlineStr">
        <is>
          <t>https://m.media-amazon.com/images/M/MV5BYjY0YTQ1OTAtYjEyNy00NTQ4LThlMTQtM2QwYTVhYWFhNjU5XkEyXkFqcGc@._V1_QL75_UY133_CR1,0,90,133_.jpg</t>
        </is>
      </c>
    </row>
    <row r="102">
      <c r="A102" s="2">
        <f>HYPERLINK("https://www.imdb.com/title/tt0113277/?ref_=chttp_i_101", "Heat")</f>
        <v/>
      </c>
      <c r="B102" t="n">
        <v>8.300000000000001</v>
      </c>
      <c r="D102" t="inlineStr">
        <is>
          <t>https://www.imdb.com/title/tt0113277/?ref_=chttp_i_101</t>
        </is>
      </c>
      <c r="E102" t="inlineStr">
        <is>
          <t>https://m.media-amazon.com/images/M/MV5BMTkxYjU1OTMtYWViZC00ZjAzLWI3MDktZGQ2N2VmMjVjNDRlXkEyXkFqcGc@._V1_QL75_UY133_CR2,0,90,133_.jpg</t>
        </is>
      </c>
    </row>
    <row r="103">
      <c r="A103" s="2">
        <f>HYPERLINK("https://www.imdb.com/title/tt0062622/?ref_=chttp_i_102", "2001: A Space Odyssey")</f>
        <v/>
      </c>
      <c r="B103" t="n">
        <v>8.300000000000001</v>
      </c>
      <c r="D103" t="inlineStr">
        <is>
          <t>https://www.imdb.com/title/tt0062622/?ref_=chttp_i_102</t>
        </is>
      </c>
      <c r="E103" t="inlineStr">
        <is>
          <t>https://m.media-amazon.com/images/M/MV5BNjU0NDFkMTQtZWY5OS00MmZhLTg3Y2QtZmJhMzMzMWYyYjc2XkEyXkFqcGc@._V1_QL75_UX90_CR0,0,90,133_.jpg</t>
        </is>
      </c>
    </row>
    <row r="104">
      <c r="A104" s="2">
        <f>HYPERLINK("https://www.imdb.com/title/tt0105236/?ref_=chttp_i_103", "Reservoir Dogs")</f>
        <v/>
      </c>
      <c r="B104" t="n">
        <v>8.300000000000001</v>
      </c>
      <c r="D104" t="inlineStr">
        <is>
          <t>https://www.imdb.com/title/tt0105236/?ref_=chttp_i_103</t>
        </is>
      </c>
      <c r="E104" t="inlineStr">
        <is>
          <t>https://m.media-amazon.com/images/M/MV5BMmMzYjg4NDctYWY0Mi00OGViLWIzMTMtYWNlZGY5ZDJmYjk3XkEyXkFqcGc@._V1_QL75_UX90_CR0,0,90,133_.jpg</t>
        </is>
      </c>
    </row>
    <row r="105">
      <c r="A105" s="2">
        <f>HYPERLINK("https://www.imdb.com/title/tt0086250/?ref_=chttp_i_104", "Scarface")</f>
        <v/>
      </c>
      <c r="B105" t="n">
        <v>8.300000000000001</v>
      </c>
      <c r="D105" t="inlineStr">
        <is>
          <t>https://www.imdb.com/title/tt0086250/?ref_=chttp_i_104</t>
        </is>
      </c>
      <c r="E105" t="inlineStr">
        <is>
          <t>https://m.media-amazon.com/images/M/MV5BNDUzYjY0NmUtMDM4OS00Y2Q5LWJiODYtNTk0ZTk0YjZhMTg1XkEyXkFqcGc@._V1_QL75_UX90_CR0,1,90,133_.jpg</t>
        </is>
      </c>
    </row>
    <row r="106">
      <c r="A106" s="2">
        <f>HYPERLINK("https://www.imdb.com/title/tt0036775/?ref_=chttp_i_105", "Double Indemnity")</f>
        <v/>
      </c>
      <c r="B106" t="n">
        <v>8.300000000000001</v>
      </c>
      <c r="D106" t="inlineStr">
        <is>
          <t>https://www.imdb.com/title/tt0036775/?ref_=chttp_i_105</t>
        </is>
      </c>
      <c r="E106" t="inlineStr">
        <is>
          <t>https://m.media-amazon.com/images/M/MV5BM2YwNjZlZDktNTlmNS00ODQwLWJmNmUtYmE1NTBhYjc1YTY5XkEyXkFqcGc@._V1_QL75_UX90_CR0,1,90,133_.jpg</t>
        </is>
      </c>
    </row>
    <row r="107">
      <c r="A107" s="2">
        <f>HYPERLINK("https://www.imdb.com/title/tt1049413/?ref_=chttp_i_106", "Up")</f>
        <v/>
      </c>
      <c r="B107" t="n">
        <v>8.300000000000001</v>
      </c>
      <c r="D107" t="inlineStr">
        <is>
          <t>https://www.imdb.com/title/tt1049413/?ref_=chttp_i_106</t>
        </is>
      </c>
      <c r="E107" t="inlineStr">
        <is>
          <t>https://m.media-amazon.com/images/M/MV5BNmI1ZTc5MWMtMDYyOS00ZDc2LTkzOTAtNjQ4NWIxNjYyNDgzXkEyXkFqcGc@._V1_QL75_UX90_CR0,0,90,133_.jpg</t>
        </is>
      </c>
    </row>
    <row r="108">
      <c r="A108" s="2">
        <f>HYPERLINK("https://www.imdb.com/title/tt0053125/?ref_=chttp_i_107", "North by Northwest")</f>
        <v/>
      </c>
      <c r="B108" t="n">
        <v>8.300000000000001</v>
      </c>
      <c r="D108" t="inlineStr">
        <is>
          <t>https://www.imdb.com/title/tt0053125/?ref_=chttp_i_107</t>
        </is>
      </c>
      <c r="E108" t="inlineStr">
        <is>
          <t>https://m.media-amazon.com/images/M/MV5BZWIzODI2OGItMzM0Ny00OGRmLTlkNmItMDQxMTFmMTk3YmQwXkEyXkFqcGc@._V1_QL75_UX90_CR0,1,90,133_.jpg</t>
        </is>
      </c>
    </row>
    <row r="109">
      <c r="A109" s="2">
        <f>HYPERLINK("https://www.imdb.com/title/tt0986264/?ref_=chttp_i_108", "Like Stars on Earth")</f>
        <v/>
      </c>
      <c r="B109" t="n">
        <v>8.300000000000001</v>
      </c>
      <c r="D109" t="inlineStr">
        <is>
          <t>https://www.imdb.com/title/tt0986264/?ref_=chttp_i_108</t>
        </is>
      </c>
      <c r="E109" t="inlineStr">
        <is>
          <t>https://m.media-amazon.com/images/M/MV5BNjVmMTlkNGYtYTM2OC00Yjc2LWIyYmQtMDY4ZmU1MWRlMjA3XkEyXkFqcGc@._V1_QL75_UY133_CR1,0,90,133_.jpg</t>
        </is>
      </c>
    </row>
    <row r="110">
      <c r="A110" s="2">
        <f>HYPERLINK("https://www.imdb.com/title/tt0093058/?ref_=chttp_i_109", "Full Metal Jacket")</f>
        <v/>
      </c>
      <c r="B110" t="n">
        <v>8.199999999999999</v>
      </c>
      <c r="D110" t="inlineStr">
        <is>
          <t>https://www.imdb.com/title/tt0093058/?ref_=chttp_i_109</t>
        </is>
      </c>
      <c r="E110" t="inlineStr">
        <is>
          <t>https://m.media-amazon.com/images/M/MV5BYWUzNzZkNzUtNDdiYy00Nzk5LTgxMmItNTk0MjRjNjdjNDA0XkEyXkFqcGc@._V1_QL75_UX90_CR0,1,90,133_.jpg</t>
        </is>
      </c>
    </row>
    <row r="111">
      <c r="A111" s="2">
        <f>HYPERLINK("https://www.imdb.com/title/tt0022100/?ref_=chttp_i_110", "M")</f>
        <v/>
      </c>
      <c r="B111" t="n">
        <v>8.300000000000001</v>
      </c>
      <c r="D111" t="inlineStr">
        <is>
          <t>https://www.imdb.com/title/tt0022100/?ref_=chttp_i_110</t>
        </is>
      </c>
      <c r="E111" t="inlineStr">
        <is>
          <t>https://m.media-amazon.com/images/M/MV5BODA4ODk3OTEzMF5BMl5BanBnXkFtZTgwMTQ2ODMwMzE@._V1_QL75_UX90_CR0,1,90,133_.jpg</t>
        </is>
      </c>
    </row>
    <row r="112">
      <c r="A112" s="2">
        <f>HYPERLINK("https://www.imdb.com/title/tt0211915/?ref_=chttp_i_111", "Amélie")</f>
        <v/>
      </c>
      <c r="B112" t="n">
        <v>8.300000000000001</v>
      </c>
      <c r="D112" t="inlineStr">
        <is>
          <t>https://www.imdb.com/title/tt0211915/?ref_=chttp_i_111</t>
        </is>
      </c>
      <c r="E112" t="inlineStr">
        <is>
          <t>https://m.media-amazon.com/images/M/MV5BOTNmYzY0MWQtZGZmNy00Y2Y4LWFmMDQtMTZjYTdiYzEwZGQ2XkEyXkFqcGc@._V1_QL75_UX90_CR0,1,90,133_.jpg</t>
        </is>
      </c>
    </row>
    <row r="113">
      <c r="A113" s="2">
        <f>HYPERLINK("https://www.imdb.com/title/tt0033467/?ref_=chttp_i_112", "Citizen Kane")</f>
        <v/>
      </c>
      <c r="B113" t="n">
        <v>8.199999999999999</v>
      </c>
      <c r="D113" t="inlineStr">
        <is>
          <t>https://www.imdb.com/title/tt0033467/?ref_=chttp_i_112</t>
        </is>
      </c>
      <c r="E113" t="inlineStr">
        <is>
          <t>https://m.media-amazon.com/images/M/MV5BYjk1ZDJlMmUtOWQ0Zi00MDM5LTk1OGYtODczNjFmMGYwZGVkXkEyXkFqcGc@._V1_QL75_UX90_CR0,1,90,133_.jpg</t>
        </is>
      </c>
    </row>
    <row r="114">
      <c r="A114" s="2">
        <f>HYPERLINK("https://www.imdb.com/title/tt0052357/?ref_=chttp_i_113", "Vertigo")</f>
        <v/>
      </c>
      <c r="B114" t="n">
        <v>8.199999999999999</v>
      </c>
      <c r="D114" t="inlineStr">
        <is>
          <t>https://www.imdb.com/title/tt0052357/?ref_=chttp_i_113</t>
        </is>
      </c>
      <c r="E114" t="inlineStr">
        <is>
          <t>https://m.media-amazon.com/images/M/MV5BNzEyZTUxMWItMGVhYy00Y2NlLTljYTMtYzBmMzI1YmUyMDBkXkEyXkFqcGc@._V1_QL75_UX90_CR0,3,90,133_.jpg</t>
        </is>
      </c>
    </row>
    <row r="115">
      <c r="A115" s="2">
        <f>HYPERLINK("https://www.imdb.com/title/tt1832382/?ref_=chttp_i_114", "A Separation")</f>
        <v/>
      </c>
      <c r="B115" t="n">
        <v>8.300000000000001</v>
      </c>
      <c r="D115" t="inlineStr">
        <is>
          <t>https://www.imdb.com/title/tt1832382/?ref_=chttp_i_114</t>
        </is>
      </c>
      <c r="E115" t="inlineStr">
        <is>
          <t>https://m.media-amazon.com/images/M/MV5BMDM0ZWRmMzctM2M5ZS00ZjU0LWIxN2MtNWNlNGY1ZDhjMDVhXkEyXkFqcGc@._V1_QL75_UX90_CR0,0,90,133_.jpg</t>
        </is>
      </c>
    </row>
    <row r="116">
      <c r="A116" s="2">
        <f>HYPERLINK("https://www.imdb.com/title/tt0095016/?ref_=chttp_i_115", "Die Hard")</f>
        <v/>
      </c>
      <c r="B116" t="n">
        <v>8.199999999999999</v>
      </c>
      <c r="D116" t="inlineStr">
        <is>
          <t>https://www.imdb.com/title/tt0095016/?ref_=chttp_i_115</t>
        </is>
      </c>
      <c r="E116" t="inlineStr">
        <is>
          <t>https://m.media-amazon.com/images/M/MV5BMGNlYmM1NmQtYWExMS00NmRjLTg5ZmEtMmYyYzJkMzljYWMxXkEyXkFqcGc@._V1_QL75_UX90_CR0,1,90,133_.jpg</t>
        </is>
      </c>
    </row>
    <row r="117">
      <c r="A117" s="2">
        <f>HYPERLINK("https://www.imdb.com/title/tt0056592/?ref_=chttp_i_116", "To Kill a Mockingbird")</f>
        <v/>
      </c>
      <c r="B117" t="n">
        <v>8.199999999999999</v>
      </c>
      <c r="D117" t="inlineStr">
        <is>
          <t>https://www.imdb.com/title/tt0056592/?ref_=chttp_i_116</t>
        </is>
      </c>
      <c r="E117" t="inlineStr">
        <is>
          <t>https://m.media-amazon.com/images/M/MV5BZTlkYWU4MGEtZmQyYi00OWEzLTgzY2EtYzVjOTEzYzAyNTk1XkEyXkFqcGc@._V1_QL75_UX90_CR0,2,90,133_.jpg</t>
        </is>
      </c>
    </row>
    <row r="118">
      <c r="A118" s="2">
        <f>HYPERLINK("https://www.imdb.com/title/tt0097576/?ref_=chttp_i_117", "Indiana Jones and the Last Crusade")</f>
        <v/>
      </c>
      <c r="B118" t="n">
        <v>8.199999999999999</v>
      </c>
      <c r="D118" t="inlineStr">
        <is>
          <t>https://www.imdb.com/title/tt0097576/?ref_=chttp_i_117</t>
        </is>
      </c>
      <c r="E118" t="inlineStr">
        <is>
          <t>https://m.media-amazon.com/images/M/MV5BNGIxNzQ0YzYtMjNmYi00YjBlLWFjNzEtNGE3ZGFmYTczM2MwXkEyXkFqcGc@._V1_QL75_UX90_CR0,0,90,133_.jpg</t>
        </is>
      </c>
    </row>
    <row r="119">
      <c r="A119" s="2">
        <f>HYPERLINK("https://www.imdb.com/title/tt0070735/?ref_=chttp_i_118", "The Sting")</f>
        <v/>
      </c>
      <c r="B119" t="n">
        <v>8.199999999999999</v>
      </c>
      <c r="D119" t="inlineStr">
        <is>
          <t>https://www.imdb.com/title/tt0070735/?ref_=chttp_i_118</t>
        </is>
      </c>
      <c r="E119" t="inlineStr">
        <is>
          <t>https://m.media-amazon.com/images/M/MV5BZGI4OTk4MDMtYmQ1Ni00YTUzLTkyYTktZGUwMjMyN2M4NjQ5XkEyXkFqcGc@._V1_QL75_UX90_CR0,2,90,133_.jpg</t>
        </is>
      </c>
    </row>
    <row r="120">
      <c r="A120" s="2">
        <f>HYPERLINK("https://www.imdb.com/title/tt0066921/?ref_=chttp_i_119", "A Clockwork Orange")</f>
        <v/>
      </c>
      <c r="B120" t="n">
        <v>8.199999999999999</v>
      </c>
      <c r="D120" t="inlineStr">
        <is>
          <t>https://www.imdb.com/title/tt0066921/?ref_=chttp_i_119</t>
        </is>
      </c>
      <c r="E120" t="inlineStr">
        <is>
          <t>https://m.media-amazon.com/images/M/MV5BMTY3MjM1Mzc4N15BMl5BanBnXkFtZTgwODM0NzAxMDE@._V1_QL75_UX90_CR0,0,90,133_.jpg</t>
        </is>
      </c>
    </row>
    <row r="121">
      <c r="A121" s="2">
        <f>HYPERLINK("https://www.imdb.com/title/tt0017136/?ref_=chttp_i_120", "Metropolis")</f>
        <v/>
      </c>
      <c r="B121" t="n">
        <v>8.199999999999999</v>
      </c>
      <c r="D121" t="inlineStr">
        <is>
          <t>https://www.imdb.com/title/tt0017136/?ref_=chttp_i_120</t>
        </is>
      </c>
      <c r="E121" t="inlineStr">
        <is>
          <t>https://m.media-amazon.com/images/M/MV5BMjhjMGYyMjAtMzJkYy00NzhlLWIwY2MtMWQ2ODIxZDUyOGYyXkEyXkFqcGc@._V1_QL75_UY133_CR0,0,90,133_.jpg</t>
        </is>
      </c>
    </row>
    <row r="122">
      <c r="A122" s="2">
        <f>HYPERLINK("https://www.imdb.com/title/tt8579674/?ref_=chttp_i_121", "1917")</f>
        <v/>
      </c>
      <c r="B122" t="n">
        <v>8.199999999999999</v>
      </c>
      <c r="D122" t="inlineStr">
        <is>
          <t>https://www.imdb.com/title/tt8579674/?ref_=chttp_i_121</t>
        </is>
      </c>
      <c r="E122" t="inlineStr">
        <is>
          <t>https://m.media-amazon.com/images/M/MV5BYzkxZjg2NDQtMGVjMy00NWZkLTk0ZDEtZWE3NDYwYjAyMTg1XkEyXkFqcGc@._V1_QL75_UX90_CR0,5,90,133_.jpg</t>
        </is>
      </c>
    </row>
    <row r="123">
      <c r="A123" s="2">
        <f>HYPERLINK("https://www.imdb.com/title/tt0208092/?ref_=chttp_i_122", "Snatch")</f>
        <v/>
      </c>
      <c r="B123" t="n">
        <v>8.199999999999999</v>
      </c>
      <c r="D123" t="inlineStr">
        <is>
          <t>https://www.imdb.com/title/tt0208092/?ref_=chttp_i_122</t>
        </is>
      </c>
      <c r="E123" t="inlineStr">
        <is>
          <t>https://m.media-amazon.com/images/M/MV5BYzk5NjJkMTQtN2IyNC00YWM5LTlhZmMtNGI3MWNhMTU1YTc4XkEyXkFqcGc@._V1_QL75_UY133_CR1,0,90,133_.jpg</t>
        </is>
      </c>
    </row>
    <row r="124">
      <c r="A124" s="2">
        <f>HYPERLINK("https://www.imdb.com/title/tt0119488/?ref_=chttp_i_123", "L.A. Confidential")</f>
        <v/>
      </c>
      <c r="B124" t="n">
        <v>8.199999999999999</v>
      </c>
      <c r="D124" t="inlineStr">
        <is>
          <t>https://www.imdb.com/title/tt0119488/?ref_=chttp_i_123</t>
        </is>
      </c>
      <c r="E124" t="inlineStr">
        <is>
          <t>https://m.media-amazon.com/images/M/MV5BODdiMjY1OGYtNDk0NC00NGQ1LWI4MDItOTJhMTM0YjE1YTAzXkEyXkFqcGc@._V1_QL75_UY133_CR1,0,90,133_.jpg</t>
        </is>
      </c>
    </row>
    <row r="125">
      <c r="A125" s="2">
        <f>HYPERLINK("https://www.imdb.com/title/tt0363163/?ref_=chttp_i_124", "Downfall")</f>
        <v/>
      </c>
      <c r="B125" t="n">
        <v>8.199999999999999</v>
      </c>
      <c r="D125" t="inlineStr">
        <is>
          <t>https://www.imdb.com/title/tt0363163/?ref_=chttp_i_124</t>
        </is>
      </c>
      <c r="E125" t="inlineStr">
        <is>
          <t>https://m.media-amazon.com/images/M/MV5BMTU0NTU5NTAyMl5BMl5BanBnXkFtZTYwNzYwMDg2._V1_QL75_UY133_CR1,0,90,133_.jpg</t>
        </is>
      </c>
    </row>
    <row r="126">
      <c r="A126" s="2">
        <f>HYPERLINK("https://www.imdb.com/title/tt0993846/?ref_=chttp_i_125", "The Wolf of Wall Street")</f>
        <v/>
      </c>
      <c r="B126" t="n">
        <v>8.199999999999999</v>
      </c>
      <c r="D126" t="inlineStr">
        <is>
          <t>https://www.imdb.com/title/tt0993846/?ref_=chttp_i_125</t>
        </is>
      </c>
      <c r="E126" t="inlineStr">
        <is>
          <t>https://m.media-amazon.com/images/M/MV5BMjIxMjgxNTk0MF5BMl5BanBnXkFtZTgwNjIyOTg2MDE@._V1_QL75_UX90_CR0,0,90,133_.jpg</t>
        </is>
      </c>
    </row>
    <row r="127">
      <c r="A127" s="2">
        <f>HYPERLINK("https://www.imdb.com/title/tt5074352/?ref_=chttp_i_126", "Dangal")</f>
        <v/>
      </c>
      <c r="B127" t="n">
        <v>8.300000000000001</v>
      </c>
      <c r="D127" t="inlineStr">
        <is>
          <t>https://www.imdb.com/title/tt5074352/?ref_=chttp_i_126</t>
        </is>
      </c>
      <c r="E127" t="inlineStr">
        <is>
          <t>https://m.media-amazon.com/images/M/MV5BMTQ4MzQzMzM2Nl5BMl5BanBnXkFtZTgwMTQ1NzU3MDI@._V1_QL75_UY133_CR3,0,90,133_.jpg</t>
        </is>
      </c>
    </row>
    <row r="128">
      <c r="A128" s="2">
        <f>HYPERLINK("https://www.imdb.com/title/tt0120382/?ref_=chttp_i_127", "The Truman Show")</f>
        <v/>
      </c>
      <c r="B128" t="n">
        <v>8.199999999999999</v>
      </c>
      <c r="D128" t="inlineStr">
        <is>
          <t>https://www.imdb.com/title/tt0120382/?ref_=chttp_i_127</t>
        </is>
      </c>
      <c r="E128" t="inlineStr">
        <is>
          <t>https://m.media-amazon.com/images/M/MV5BNzA3ZjZlNzYtMTdjMy00NjMzLTk5ZGYtMTkyYzNiOGM1YmM3XkEyXkFqcGc@._V1_QL75_UX90_CR0,0,90,133_.jpg</t>
        </is>
      </c>
    </row>
    <row r="129">
      <c r="A129" s="2">
        <f>HYPERLINK("https://www.imdb.com/title/tt0040522/?ref_=chttp_i_128", "Bicycle Thieves")</f>
        <v/>
      </c>
      <c r="B129" t="n">
        <v>8.199999999999999</v>
      </c>
      <c r="D129" t="inlineStr">
        <is>
          <t>https://www.imdb.com/title/tt0040522/?ref_=chttp_i_128</t>
        </is>
      </c>
      <c r="E129" t="inlineStr">
        <is>
          <t>https://m.media-amazon.com/images/M/MV5BMjIzMzAyMzg1Nl5BMl5BanBnXkFtZTgwMzMyNzk0MTE@._V1_QL75_UY133_CR1,0,90,133_.jpg</t>
        </is>
      </c>
    </row>
    <row r="130">
      <c r="A130" s="2">
        <f>HYPERLINK("https://www.imdb.com/title/tt15398776/?ref_=chttp_i_129", "Oppenheimer")</f>
        <v/>
      </c>
      <c r="B130" t="n">
        <v>8.199999999999999</v>
      </c>
      <c r="D130" t="inlineStr">
        <is>
          <t>https://www.imdb.com/title/tt15398776/?ref_=chttp_i_129</t>
        </is>
      </c>
      <c r="E130" t="inlineStr">
        <is>
          <t>https://m.media-amazon.com/images/M/MV5BN2JkMDc5MGQtZjg3YS00NmFiLWIyZmQtZTJmNTM5MjVmYTQ4XkEyXkFqcGc@._V1_QL75_UX90_CR0,0,90,133_.jpg</t>
        </is>
      </c>
    </row>
    <row r="131">
      <c r="A131" s="2">
        <f>HYPERLINK("https://www.imdb.com/title/tt6966692/?ref_=chttp_i_130", "Green Book")</f>
        <v/>
      </c>
      <c r="B131" t="n">
        <v>8.199999999999999</v>
      </c>
      <c r="D131" t="inlineStr">
        <is>
          <t>https://www.imdb.com/title/tt6966692/?ref_=chttp_i_130</t>
        </is>
      </c>
      <c r="E131" t="inlineStr">
        <is>
          <t>https://m.media-amazon.com/images/M/MV5BNDU5YTNmMmItN2QxNy00OGQ0LTg5MTctNzFmYjEzZjcwN2UwXkEyXkFqcGc@._V1_QL75_UX90_CR0,1,90,133_.jpg</t>
        </is>
      </c>
    </row>
    <row r="132">
      <c r="A132" s="2">
        <f>HYPERLINK("https://www.imdb.com/title/tt1130884/?ref_=chttp_i_131", "Shutter Island")</f>
        <v/>
      </c>
      <c r="B132" t="n">
        <v>8.199999999999999</v>
      </c>
      <c r="D132" t="inlineStr">
        <is>
          <t>https://www.imdb.com/title/tt1130884/?ref_=chttp_i_131</t>
        </is>
      </c>
      <c r="E132" t="inlineStr">
        <is>
          <t>https://m.media-amazon.com/images/M/MV5BN2FjNWExYzEtY2YzOC00YjNlLTllMTQtNmIwM2Q1YzBhOWM1XkEyXkFqcGc@._V1_QL75_UX90_CR0,0,90,133_.jpg</t>
        </is>
      </c>
    </row>
    <row r="133">
      <c r="A133" s="2">
        <f>HYPERLINK("https://www.imdb.com/title/tt0055031/?ref_=chttp_i_132", "Judgment at Nuremberg")</f>
        <v/>
      </c>
      <c r="B133" t="n">
        <v>8.300000000000001</v>
      </c>
      <c r="D133" t="inlineStr">
        <is>
          <t>https://www.imdb.com/title/tt0055031/?ref_=chttp_i_132</t>
        </is>
      </c>
      <c r="E133" t="inlineStr">
        <is>
          <t>https://m.media-amazon.com/images/M/MV5BNDc2ODQ5NTE2MV5BMl5BanBnXkFtZTcwODExMjUyNA@@._V1_QL75_UX90_CR0,1,90,133_.jpg</t>
        </is>
      </c>
    </row>
    <row r="134">
      <c r="A134" s="2">
        <f>HYPERLINK("https://www.imdb.com/title/tt0372784/?ref_=chttp_i_133", "Batman Begins")</f>
        <v/>
      </c>
      <c r="B134" t="n">
        <v>8.199999999999999</v>
      </c>
      <c r="D134" t="inlineStr">
        <is>
          <t>https://www.imdb.com/title/tt0372784/?ref_=chttp_i_133</t>
        </is>
      </c>
      <c r="E134" t="inlineStr">
        <is>
          <t>https://m.media-amazon.com/images/M/MV5BMzA2NDQzZDEtNDU5Ni00YTlkLTg2OWEtYmQwM2Y1YTBjMjFjXkEyXkFqcGc@._V1_QL75_UX90_CR0,0,90,133_.jpg</t>
        </is>
      </c>
    </row>
    <row r="135">
      <c r="A135" s="2">
        <f>HYPERLINK("https://www.imdb.com/title/tt8503618/?ref_=chttp_i_134", "Hamilton")</f>
        <v/>
      </c>
      <c r="B135" t="n">
        <v>8.300000000000001</v>
      </c>
      <c r="D135" t="inlineStr">
        <is>
          <t>https://www.imdb.com/title/tt8503618/?ref_=chttp_i_134</t>
        </is>
      </c>
      <c r="E135" t="inlineStr">
        <is>
          <t>https://m.media-amazon.com/images/M/MV5BYTc3MWIyMzAtMTZmNC00YmNjLWIyZTgtMmU4NjZkYzZkOThkXkEyXkFqcGc@._V1_QL75_UX90_CR0,0,90,133_.jpg</t>
        </is>
      </c>
    </row>
    <row r="136">
      <c r="A136" s="2">
        <f>HYPERLINK("https://www.imdb.com/title/tt0059578/?ref_=chttp_i_135", "For a Few Dollars More")</f>
        <v/>
      </c>
      <c r="B136" t="n">
        <v>8.199999999999999</v>
      </c>
      <c r="D136" t="inlineStr">
        <is>
          <t>https://www.imdb.com/title/tt0059578/?ref_=chttp_i_135</t>
        </is>
      </c>
      <c r="E136" t="inlineStr">
        <is>
          <t>https://m.media-amazon.com/images/M/MV5BNTRmOTcyYmYtMTIwNi00ZGYyLTk4YjYtZGJlZTgwZGY0NGQyXkEyXkFqcGc@._V1_QL75_UX90_CR0,2,90,133_.jpg</t>
        </is>
      </c>
    </row>
    <row r="137">
      <c r="A137" s="2">
        <f>HYPERLINK("https://www.imdb.com/title/tt0075314/?ref_=chttp_i_136", "Taxi Driver")</f>
        <v/>
      </c>
      <c r="B137" t="n">
        <v>8.199999999999999</v>
      </c>
      <c r="D137" t="inlineStr">
        <is>
          <t>https://www.imdb.com/title/tt0075314/?ref_=chttp_i_136</t>
        </is>
      </c>
      <c r="E137" t="inlineStr">
        <is>
          <t>https://m.media-amazon.com/images/M/MV5BZDNhMGYwM2UtMTdlZS00MGQ1LWI2YzAtODY5YWI1MjYyNzRmXkEyXkFqcGc@._V1_QL75_UX90_CR0,2,90,133_.jpg</t>
        </is>
      </c>
    </row>
    <row r="138">
      <c r="A138" s="2">
        <f>HYPERLINK("https://www.imdb.com/title/tt0107290/?ref_=chttp_i_137", "Jurassic Park")</f>
        <v/>
      </c>
      <c r="B138" t="n">
        <v>8.199999999999999</v>
      </c>
      <c r="D138" t="inlineStr">
        <is>
          <t>https://www.imdb.com/title/tt0107290/?ref_=chttp_i_137</t>
        </is>
      </c>
      <c r="E138" t="inlineStr">
        <is>
          <t>https://m.media-amazon.com/images/M/MV5BMjM2MDgxMDg0Nl5BMl5BanBnXkFtZTgwNTM2OTM5NDE@._V1_QL75_UX90_CR0,1,90,133_.jpg</t>
        </is>
      </c>
    </row>
    <row r="139">
      <c r="A139" s="2">
        <f>HYPERLINK("https://www.imdb.com/title/tt0053291/?ref_=chttp_i_138", "Some Like It Hot")</f>
        <v/>
      </c>
      <c r="B139" t="n">
        <v>8.199999999999999</v>
      </c>
      <c r="D139" t="inlineStr">
        <is>
          <t>https://www.imdb.com/title/tt0053291/?ref_=chttp_i_138</t>
        </is>
      </c>
      <c r="E139" t="inlineStr">
        <is>
          <t>https://m.media-amazon.com/images/M/MV5BZTllZDYyNjEtY2RmMS00NmJhLWI4ODAtMTQ0NWFiZTJhZjA0XkEyXkFqcGc@._V1_QL75_UX90_CR0,3,90,133_.jpg</t>
        </is>
      </c>
    </row>
    <row r="140">
      <c r="A140" s="2">
        <f>HYPERLINK("https://www.imdb.com/title/tt0469494/?ref_=chttp_i_139", "There Will Be Blood")</f>
        <v/>
      </c>
      <c r="B140" t="n">
        <v>8.199999999999999</v>
      </c>
      <c r="D140" t="inlineStr">
        <is>
          <t>https://www.imdb.com/title/tt0469494/?ref_=chttp_i_139</t>
        </is>
      </c>
      <c r="E140" t="inlineStr">
        <is>
          <t>https://m.media-amazon.com/images/M/MV5BMjAxODQ4MDU5NV5BMl5BanBnXkFtZTcwMDU4MjU1MQ@@._V1_QL75_UX90_CR0,0,90,133_.jpg</t>
        </is>
      </c>
    </row>
    <row r="141">
      <c r="A141" s="2">
        <f>HYPERLINK("https://www.imdb.com/title/tt10272386/?ref_=chttp_i_140", "The Father")</f>
        <v/>
      </c>
      <c r="B141" t="n">
        <v>8.199999999999999</v>
      </c>
      <c r="D141" t="inlineStr">
        <is>
          <t>https://www.imdb.com/title/tt10272386/?ref_=chttp_i_140</t>
        </is>
      </c>
      <c r="E141" t="inlineStr">
        <is>
          <t>https://m.media-amazon.com/images/M/MV5BYzUxMDAyMDAtNzIyZi00OGQ1LTllMjEtYzRjOThkZTUxNTliXkEyXkFqcGc@._V1_QL75_UX90_CR0,0,90,133_.jpg</t>
        </is>
      </c>
    </row>
    <row r="142">
      <c r="A142" s="2">
        <f>HYPERLINK("https://www.imdb.com/title/tt0012349/?ref_=chttp_i_141", "The Kid")</f>
        <v/>
      </c>
      <c r="B142" t="n">
        <v>8.199999999999999</v>
      </c>
      <c r="D142" t="inlineStr">
        <is>
          <t>https://www.imdb.com/title/tt0012349/?ref_=chttp_i_141</t>
        </is>
      </c>
      <c r="E142" t="inlineStr">
        <is>
          <t>https://m.media-amazon.com/images/M/MV5BNjkxMzY1NTQtN2YwOS00NmIwLTlkNTMtMjNkMzk1ZTk3ZDU2XkEyXkFqcGc@._V1_QL75_UX90_CR0,1,90,133_.jpg</t>
        </is>
      </c>
    </row>
    <row r="143">
      <c r="A143" s="2">
        <f>HYPERLINK("https://www.imdb.com/title/tt0042192/?ref_=chttp_i_142", "All About Eve")</f>
        <v/>
      </c>
      <c r="B143" t="n">
        <v>8.199999999999999</v>
      </c>
      <c r="D143" t="inlineStr">
        <is>
          <t>https://www.imdb.com/title/tt0042192/?ref_=chttp_i_142</t>
        </is>
      </c>
      <c r="E143" t="inlineStr">
        <is>
          <t>https://m.media-amazon.com/images/M/MV5BMTY2MTAzODI5NV5BMl5BanBnXkFtZTgwMjM4NzQ0MjE@._V1_QL75_UX90_CR0,1,90,133_.jpg</t>
        </is>
      </c>
    </row>
    <row r="144">
      <c r="A144" s="2">
        <f>HYPERLINK("https://www.imdb.com/title/tt0167404/?ref_=chttp_i_143", "The Sixth Sense")</f>
        <v/>
      </c>
      <c r="B144" t="n">
        <v>8.199999999999999</v>
      </c>
      <c r="D144" t="inlineStr">
        <is>
          <t>https://www.imdb.com/title/tt0167404/?ref_=chttp_i_143</t>
        </is>
      </c>
      <c r="E144" t="inlineStr">
        <is>
          <t>https://m.media-amazon.com/images/M/MV5BZWQ2OTY0M2UtMTQxNC00MmIzLTllNDQtNDQ0MTQyYzI2M2ZiXkEyXkFqcGc@._V1_QL75_UY133_CR0,0,90,133_.jpg</t>
        </is>
      </c>
    </row>
    <row r="145">
      <c r="A145" s="2">
        <f>HYPERLINK("https://www.imdb.com/title/tt0089881/?ref_=chttp_i_144", "Ran")</f>
        <v/>
      </c>
      <c r="B145" t="n">
        <v>8.199999999999999</v>
      </c>
      <c r="D145" t="inlineStr">
        <is>
          <t>https://www.imdb.com/title/tt0089881/?ref_=chttp_i_144</t>
        </is>
      </c>
      <c r="E145" t="inlineStr">
        <is>
          <t>https://m.media-amazon.com/images/M/MV5BZDk2NDY5YjktMjEyMC00OTJhLTkzM2EtY2Q4Y2RjYzc2Yjk4XkEyXkFqcGc@._V1_QL75_UX90_CR0,2,90,133_.jpg</t>
        </is>
      </c>
    </row>
    <row r="146">
      <c r="A146" s="2">
        <f>HYPERLINK("https://www.imdb.com/title/tt0112641/?ref_=chttp_i_145", "Casino")</f>
        <v/>
      </c>
      <c r="B146" t="n">
        <v>8.199999999999999</v>
      </c>
      <c r="D146" t="inlineStr">
        <is>
          <t>https://www.imdb.com/title/tt0112641/?ref_=chttp_i_145</t>
        </is>
      </c>
      <c r="E146" t="inlineStr">
        <is>
          <t>https://m.media-amazon.com/images/M/MV5BMDRlZWZjZjYtYzY2NS00ZWVjLTkwYzAtZTA2ZDAzMGRiYmYwXkEyXkFqcGc@._V1_QL75_UX90_CR0,1,90,133_.jpg</t>
        </is>
      </c>
    </row>
    <row r="147">
      <c r="A147" s="2">
        <f>HYPERLINK("https://www.imdb.com/title/tt0477348/?ref_=chttp_i_146", "No Country for Old Men")</f>
        <v/>
      </c>
      <c r="B147" t="n">
        <v>8.199999999999999</v>
      </c>
      <c r="D147" t="inlineStr">
        <is>
          <t>https://www.imdb.com/title/tt0477348/?ref_=chttp_i_146</t>
        </is>
      </c>
      <c r="E147" t="inlineStr">
        <is>
          <t>https://m.media-amazon.com/images/M/MV5BMjA5Njk3MjM4OV5BMl5BanBnXkFtZTcwMTc5MTE1MQ@@._V1_QL75_UY133_CR0,0,90,133_.jpg</t>
        </is>
      </c>
    </row>
    <row r="148">
      <c r="A148" s="2">
        <f>HYPERLINK("https://www.imdb.com/title/tt0084787/?ref_=chttp_i_147", "The Thing")</f>
        <v/>
      </c>
      <c r="B148" t="n">
        <v>8.199999999999999</v>
      </c>
      <c r="D148" t="inlineStr">
        <is>
          <t>https://www.imdb.com/title/tt0084787/?ref_=chttp_i_147</t>
        </is>
      </c>
      <c r="E148" t="inlineStr">
        <is>
          <t>https://m.media-amazon.com/images/M/MV5BYTA3NDU5MWEtNTk4Yy00ZDNkLThmZTQtMjU3ZGVhYzAyMzU4XkEyXkFqcGc@._V1_QL75_UX90_CR0,1,90,133_.jpg</t>
        </is>
      </c>
    </row>
    <row r="149">
      <c r="A149" s="2">
        <f>HYPERLINK("https://www.imdb.com/title/tt1745960/?ref_=chttp_i_148", "Top Gun: Maverick")</f>
        <v/>
      </c>
      <c r="B149" t="n">
        <v>8.199999999999999</v>
      </c>
      <c r="D149" t="inlineStr">
        <is>
          <t>https://www.imdb.com/title/tt1745960/?ref_=chttp_i_148</t>
        </is>
      </c>
      <c r="E149" t="inlineStr">
        <is>
          <t>https://m.media-amazon.com/images/M/MV5BMDBkZDNjMWEtOTdmMi00NmExLTg5MmMtNTFlYTJlNWY5YTdmXkEyXkFqcGc@._V1_QL75_UX90_CR0,0,90,133_.jpg</t>
        </is>
      </c>
    </row>
    <row r="150">
      <c r="A150" s="2">
        <f>HYPERLINK("https://www.imdb.com/title/tt1392214/?ref_=chttp_i_149", "Prisoners")</f>
        <v/>
      </c>
      <c r="B150" t="n">
        <v>8.199999999999999</v>
      </c>
      <c r="D150" t="inlineStr">
        <is>
          <t>https://www.imdb.com/title/tt1392214/?ref_=chttp_i_149</t>
        </is>
      </c>
      <c r="E150" t="inlineStr">
        <is>
          <t>https://m.media-amazon.com/images/M/MV5BMTg0NTIzMjQ1NV5BMl5BanBnXkFtZTcwNDc3MzM5OQ@@._V1_QL75_UY133_CR0,0,90,133_.jpg</t>
        </is>
      </c>
    </row>
    <row r="151">
      <c r="A151" s="2">
        <f>HYPERLINK("https://www.imdb.com/title/tt0266697/?ref_=chttp_i_150", "Kill Bill: Vol. 1")</f>
        <v/>
      </c>
      <c r="B151" t="n">
        <v>8.199999999999999</v>
      </c>
      <c r="D151" t="inlineStr">
        <is>
          <t>https://www.imdb.com/title/tt0266697/?ref_=chttp_i_150</t>
        </is>
      </c>
      <c r="E151" t="inlineStr">
        <is>
          <t>https://m.media-amazon.com/images/M/MV5BZmMyYzJlZmYtY2I3NC00NjAyLTkyZWItZjdjZDI1YTYyYTEwXkEyXkFqcGc@._V1_QL75_UX90_CR0,1,90,133_.jpg</t>
        </is>
      </c>
    </row>
    <row r="152">
      <c r="A152" s="2">
        <f>HYPERLINK("https://www.imdb.com/title/tt0457430/?ref_=chttp_i_151", "Pan's Labyrinth")</f>
        <v/>
      </c>
      <c r="B152" t="n">
        <v>8.199999999999999</v>
      </c>
      <c r="D152" t="inlineStr">
        <is>
          <t>https://www.imdb.com/title/tt0457430/?ref_=chttp_i_151</t>
        </is>
      </c>
      <c r="E152" t="inlineStr">
        <is>
          <t>https://m.media-amazon.com/images/M/MV5BOTc1NTAxMWItMWFlNy00MmU2LTkwMTMtNzMwOTg5OTQ5YTFiXkEyXkFqcGc@._V1_QL75_UX90_CR0,0,90,133_.jpg</t>
        </is>
      </c>
    </row>
    <row r="153">
      <c r="A153" s="2">
        <f>HYPERLINK("https://www.imdb.com/title/tt0105695/?ref_=chttp_i_152", "Unforgiven")</f>
        <v/>
      </c>
      <c r="B153" t="n">
        <v>8.199999999999999</v>
      </c>
      <c r="D153" t="inlineStr">
        <is>
          <t>https://www.imdb.com/title/tt0105695/?ref_=chttp_i_152</t>
        </is>
      </c>
      <c r="E153" t="inlineStr">
        <is>
          <t>https://m.media-amazon.com/images/M/MV5BNmZmMzM3YWMtZjg5Yi00M2MxLTg3ZGItNGU4YjQxNDAxM2Q4XkEyXkFqcGc@._V1_QL75_UX90_CR0,1,90,133_.jpg</t>
        </is>
      </c>
    </row>
    <row r="154">
      <c r="A154" s="2">
        <f>HYPERLINK("https://www.imdb.com/title/tt31514146/?ref_=chttp_i_153", "I Swear")</f>
        <v/>
      </c>
      <c r="B154" t="n">
        <v>8.4</v>
      </c>
      <c r="D154" t="inlineStr">
        <is>
          <t>https://www.imdb.com/title/tt31514146/?ref_=chttp_i_153</t>
        </is>
      </c>
      <c r="E154" t="inlineStr">
        <is>
          <t>https://m.media-amazon.com/images/M/MV5BNWQxYTMyZTktZDg5Yi00Y2YwLWI4YzQtMjkyYmYxNmFjYThmXkEyXkFqcGc@._V1_QL75_UX90_CR0,0,90,133_.jpg</t>
        </is>
      </c>
    </row>
    <row r="155">
      <c r="A155" s="2">
        <f>HYPERLINK("https://www.imdb.com/title/tt0268978/?ref_=chttp_i_154", "A Beautiful Mind")</f>
        <v/>
      </c>
      <c r="B155" t="n">
        <v>8.199999999999999</v>
      </c>
      <c r="D155" t="inlineStr">
        <is>
          <t>https://www.imdb.com/title/tt0268978/?ref_=chttp_i_154</t>
        </is>
      </c>
      <c r="E155" t="inlineStr">
        <is>
          <t>https://m.media-amazon.com/images/M/MV5BNzljZTk5ZDgtZTQ1Zi00NTM4LThlOGUtZDk2MGM4NDQ4NWQyXkEyXkFqcGc@._V1_QL75_UX90_CR0,0,90,133_.jpg</t>
        </is>
      </c>
    </row>
    <row r="156">
      <c r="A156" s="2">
        <f>HYPERLINK("https://www.imdb.com/title/tt0040897/?ref_=chttp_i_155", "The Treasure of the Sierra Madre")</f>
        <v/>
      </c>
      <c r="B156" t="n">
        <v>8.199999999999999</v>
      </c>
      <c r="D156" t="inlineStr">
        <is>
          <t>https://www.imdb.com/title/tt0040897/?ref_=chttp_i_155</t>
        </is>
      </c>
      <c r="E156" t="inlineStr">
        <is>
          <t>https://m.media-amazon.com/images/M/MV5BOWM1YjFmODEtMWNhMC00YmI1LWI0Y2EtYzg0YTBhZWI4ODE3XkEyXkFqcGc@._V1_QL75_UX90_CR0,1,90,133_.jpg</t>
        </is>
      </c>
    </row>
    <row r="157">
      <c r="A157" s="2">
        <f>HYPERLINK("https://www.imdb.com/title/tt0347149/?ref_=chttp_i_156", "Howl's Moving Castle")</f>
        <v/>
      </c>
      <c r="B157" t="n">
        <v>8.199999999999999</v>
      </c>
      <c r="D157" t="inlineStr">
        <is>
          <t>https://www.imdb.com/title/tt0347149/?ref_=chttp_i_156</t>
        </is>
      </c>
      <c r="E157" t="inlineStr">
        <is>
          <t>https://m.media-amazon.com/images/M/MV5BMTY1OTg0MjE3MV5BMl5BanBnXkFtZTcwNTUxMTkyMQ@@._V1_QL75_UX90_CR0,0,90,133_.jpg</t>
        </is>
      </c>
    </row>
    <row r="158">
      <c r="A158" s="2">
        <f>HYPERLINK("https://www.imdb.com/title/tt0266543/?ref_=chttp_i_157", "Finding Nemo")</f>
        <v/>
      </c>
      <c r="B158" t="n">
        <v>8.199999999999999</v>
      </c>
      <c r="D158" t="inlineStr">
        <is>
          <t>https://www.imdb.com/title/tt0266543/?ref_=chttp_i_157</t>
        </is>
      </c>
      <c r="E158" t="inlineStr">
        <is>
          <t>https://m.media-amazon.com/images/M/MV5BMTc5NjExNTA5OV5BMl5BanBnXkFtZTYwMTQ0ODY2._V1_QL75_UX90_CR0,0,90,133_.jpg</t>
        </is>
      </c>
    </row>
    <row r="159">
      <c r="A159" s="2">
        <f>HYPERLINK("https://www.imdb.com/title/tt4729430/?ref_=chttp_i_158", "Klaus")</f>
        <v/>
      </c>
      <c r="B159" t="n">
        <v>8.199999999999999</v>
      </c>
      <c r="D159" t="inlineStr">
        <is>
          <t>https://www.imdb.com/title/tt4729430/?ref_=chttp_i_158</t>
        </is>
      </c>
      <c r="E159" t="inlineStr">
        <is>
          <t>https://m.media-amazon.com/images/M/MV5BZDA4ODhlMzctNGRmYi00NmViLTkxZGYtZjRkNGQ5YzYwYWVlXkEyXkFqcGc@._V1_QL75_UX90_CR0,0,90,133_.jpg</t>
        </is>
      </c>
    </row>
    <row r="160">
      <c r="A160" s="2">
        <f>HYPERLINK("https://www.imdb.com/title/tt0055630/?ref_=chttp_i_159", "Yojimbo")</f>
        <v/>
      </c>
      <c r="B160" t="n">
        <v>8.199999999999999</v>
      </c>
      <c r="D160" t="inlineStr">
        <is>
          <t>https://www.imdb.com/title/tt0055630/?ref_=chttp_i_159</t>
        </is>
      </c>
      <c r="E160" t="inlineStr">
        <is>
          <t>https://m.media-amazon.com/images/M/MV5BYzFkODA1N2QtY2UyMC00NTMwLWEyNzctMmE3YjIzNzE1MzY4XkEyXkFqcGc@._V1_QL75_UX90_CR0,1,90,133_.jpg</t>
        </is>
      </c>
    </row>
    <row r="161">
      <c r="A161" s="2">
        <f>HYPERLINK("https://www.imdb.com/title/tt0057115/?ref_=chttp_i_160", "The Great Escape")</f>
        <v/>
      </c>
      <c r="B161" t="n">
        <v>8.199999999999999</v>
      </c>
      <c r="D161" t="inlineStr">
        <is>
          <t>https://www.imdb.com/title/tt0057115/?ref_=chttp_i_160</t>
        </is>
      </c>
      <c r="E161" t="inlineStr">
        <is>
          <t>https://m.media-amazon.com/images/M/MV5BMDRhNmJjMzEtMWU5MC00YmEyLTg3ZmYtNzYxZTI1ZGU4ZjI1XkEyXkFqcGc@._V1_QL75_UX90_CR0,4,90,133_.jpg</t>
        </is>
      </c>
    </row>
    <row r="162">
      <c r="A162" s="2">
        <f>HYPERLINK("https://www.imdb.com/title/tt0080678/?ref_=chttp_i_161", "The Elephant Man")</f>
        <v/>
      </c>
      <c r="B162" t="n">
        <v>8.199999999999999</v>
      </c>
      <c r="D162" t="inlineStr">
        <is>
          <t>https://www.imdb.com/title/tt0080678/?ref_=chttp_i_161</t>
        </is>
      </c>
      <c r="E162" t="inlineStr">
        <is>
          <t>https://m.media-amazon.com/images/M/MV5BMGE3MDZhNmMtMmUxZS00MDJmLTgxYmQtOGU4ODU0Y2JmNDI1XkEyXkFqcGc@._V1_QL75_UX90_CR0,0,90,133_.jpg</t>
        </is>
      </c>
    </row>
    <row r="163">
      <c r="A163" s="2">
        <f>HYPERLINK("https://www.imdb.com/title/tt0071853/?ref_=chttp_i_162", "Monty Python and the Holy Grail")</f>
        <v/>
      </c>
      <c r="B163" t="n">
        <v>8.199999999999999</v>
      </c>
      <c r="D163" t="inlineStr">
        <is>
          <t>https://www.imdb.com/title/tt0071853/?ref_=chttp_i_162</t>
        </is>
      </c>
      <c r="E163" t="inlineStr">
        <is>
          <t>https://m.media-amazon.com/images/M/MV5BYWY4YmUzZmUtMzQ0ZS00N2Y2LWJlODQtN2IwMDc1MWQwMmU3XkEyXkFqcGc@._V1_QL75_UX90_CR0,1,90,133_.jpg</t>
        </is>
      </c>
    </row>
    <row r="164">
      <c r="A164" s="2">
        <f>HYPERLINK("https://www.imdb.com/title/tt0046912/?ref_=chttp_i_163", "Dial M for Murder")</f>
        <v/>
      </c>
      <c r="B164" t="n">
        <v>8.1</v>
      </c>
      <c r="D164" t="inlineStr">
        <is>
          <t>https://www.imdb.com/title/tt0046912/?ref_=chttp_i_163</t>
        </is>
      </c>
      <c r="E164" t="inlineStr">
        <is>
          <t>https://m.media-amazon.com/images/M/MV5BZmYzNDgzYjgtNmU3Ny00YzUxLWE3OWUtMjIxZmNkYTVhNDZmXkEyXkFqcGc@._V1_QL75_UY133_CR4,0,90,133_.jpg</t>
        </is>
      </c>
    </row>
    <row r="165">
      <c r="A165" s="2">
        <f>HYPERLINK("https://www.imdb.com/title/tt0346336/?ref_=chttp_i_164", "The Best of Youth")</f>
        <v/>
      </c>
      <c r="B165" t="n">
        <v>8.4</v>
      </c>
      <c r="D165" t="inlineStr">
        <is>
          <t>https://www.imdb.com/title/tt0346336/?ref_=chttp_i_164</t>
        </is>
      </c>
      <c r="E165" t="inlineStr">
        <is>
          <t>https://m.media-amazon.com/images/M/MV5BYzcxMTE2YjUtMzIyMy00NDNjLWE3ZWYtODQzYmNhNDVhNDZmXkEyXkFqcGc@._V1_QL75_UY133_CR2,0,90,133_.jpg</t>
        </is>
      </c>
    </row>
    <row r="166">
      <c r="A166" s="2">
        <f>HYPERLINK("https://www.imdb.com/title/tt1305806/?ref_=chttp_i_165", "The Secret in Their Eyes")</f>
        <v/>
      </c>
      <c r="B166" t="n">
        <v>8.199999999999999</v>
      </c>
      <c r="D166" t="inlineStr">
        <is>
          <t>https://www.imdb.com/title/tt1305806/?ref_=chttp_i_165</t>
        </is>
      </c>
      <c r="E166" t="inlineStr">
        <is>
          <t>https://m.media-amazon.com/images/M/MV5BMTgwNTI3OTczOV5BMl5BanBnXkFtZTcwMTM3MTUyMw@@._V1_QL75_UY133_CR0,0,90,133_.jpg</t>
        </is>
      </c>
    </row>
    <row r="167">
      <c r="A167" s="2">
        <f>HYPERLINK("https://www.imdb.com/title/tt32820897/?ref_=chttp_i_166", "Demon Slayer: Kimetsu No Yaiba Infinity Castle")</f>
        <v/>
      </c>
      <c r="B167" t="n">
        <v>8.4</v>
      </c>
      <c r="D167" t="inlineStr">
        <is>
          <t>https://www.imdb.com/title/tt32820897/?ref_=chttp_i_166</t>
        </is>
      </c>
      <c r="E167" t="inlineStr">
        <is>
          <t>https://m.media-amazon.com/images/M/MV5BOGQ3YWUzYjEtMTJiYy00ZjQ0LWI0YjktYjhiNGVhNGExYTM3XkEyXkFqcGc@._V1_QL75_UX90_CR0,1,90,133_.jpg</t>
        </is>
      </c>
    </row>
    <row r="168">
      <c r="A168" s="2">
        <f>HYPERLINK("https://www.imdb.com/title/tt0031381/?ref_=chttp_i_167", "Gone with the Wind")</f>
        <v/>
      </c>
      <c r="B168" t="n">
        <v>8.199999999999999</v>
      </c>
      <c r="D168" t="inlineStr">
        <is>
          <t>https://www.imdb.com/title/tt0031381/?ref_=chttp_i_167</t>
        </is>
      </c>
      <c r="E168" t="inlineStr">
        <is>
          <t>https://m.media-amazon.com/images/M/MV5BYmYxZTE3YzMtYmE2Yy00NmFlLTkzYTAtYTAzN2IzNDFkN2E0XkEyXkFqcGc@._V1_QL75_UX90_CR0,2,90,133_.jpg</t>
        </is>
      </c>
    </row>
    <row r="169">
      <c r="A169" s="2">
        <f>HYPERLINK("https://www.imdb.com/title/tt0071315/?ref_=chttp_i_168", "Chinatown")</f>
        <v/>
      </c>
      <c r="B169" t="n">
        <v>8.1</v>
      </c>
      <c r="D169" t="inlineStr">
        <is>
          <t>https://www.imdb.com/title/tt0071315/?ref_=chttp_i_168</t>
        </is>
      </c>
      <c r="E169" t="inlineStr">
        <is>
          <t>https://m.media-amazon.com/images/M/MV5BNmRmZTE0NmUtZjhiZi00MzQ3LTk3ZjctN2Q3ODYzY2U3MDk3XkEyXkFqcGc@._V1_QL75_UX90_CR0,2,90,133_.jpg</t>
        </is>
      </c>
    </row>
    <row r="170">
      <c r="A170" s="2">
        <f>HYPERLINK("https://www.imdb.com/title/tt0120735/?ref_=chttp_i_169", "Lock, Stock and Two Smoking Barrels")</f>
        <v/>
      </c>
      <c r="B170" t="n">
        <v>8.1</v>
      </c>
      <c r="D170" t="inlineStr">
        <is>
          <t>https://www.imdb.com/title/tt0120735/?ref_=chttp_i_169</t>
        </is>
      </c>
      <c r="E170" t="inlineStr">
        <is>
          <t>https://m.media-amazon.com/images/M/MV5BMmY1M2M5ZmMtYzllZC00YzAxLTk4MjktZDJkNjA1MTUwMGQ4XkEyXkFqcGc@._V1_QL75_UX90_CR0,1,90,133_.jpg</t>
        </is>
      </c>
    </row>
    <row r="171">
      <c r="A171" s="2">
        <f>HYPERLINK("https://www.imdb.com/title/tt0434409/?ref_=chttp_i_170", "V for Vendetta")</f>
        <v/>
      </c>
      <c r="B171" t="n">
        <v>8.1</v>
      </c>
      <c r="D171" t="inlineStr">
        <is>
          <t>https://www.imdb.com/title/tt0434409/?ref_=chttp_i_170</t>
        </is>
      </c>
      <c r="E171" t="inlineStr">
        <is>
          <t>https://m.media-amazon.com/images/M/MV5BOTI5ODc3NzExNV5BMl5BanBnXkFtZTcwNzYxNzQzMw@@._V1_QL75_UX90_CR0,0,90,133_.jpg</t>
        </is>
      </c>
    </row>
    <row r="172">
      <c r="A172" s="2">
        <f>HYPERLINK("https://www.imdb.com/title/tt0264464/?ref_=chttp_i_171", "Catch Me If You Can")</f>
        <v/>
      </c>
      <c r="B172" t="n">
        <v>8.1</v>
      </c>
      <c r="D172" t="inlineStr">
        <is>
          <t>https://www.imdb.com/title/tt0264464/?ref_=chttp_i_171</t>
        </is>
      </c>
      <c r="E172" t="inlineStr">
        <is>
          <t>https://m.media-amazon.com/images/M/MV5BMTY5MzYzNjc5NV5BMl5BanBnXkFtZTYwNTUyNTc2._V1_QL75_UX90_CR0,0,90,133_.jpg</t>
        </is>
      </c>
    </row>
    <row r="173">
      <c r="A173" s="2">
        <f>HYPERLINK("https://www.imdb.com/title/tt2096673/?ref_=chttp_i_172", "Inside Out")</f>
        <v/>
      </c>
      <c r="B173" t="n">
        <v>8.1</v>
      </c>
      <c r="D173" t="inlineStr">
        <is>
          <t>https://www.imdb.com/title/tt2096673/?ref_=chttp_i_172</t>
        </is>
      </c>
      <c r="E173" t="inlineStr">
        <is>
          <t>https://m.media-amazon.com/images/M/MV5BOTgxMDQwMDk0OF5BMl5BanBnXkFtZTgwNjU5OTg2NDE@._V1_QL75_UX90_CR0,0,90,133_.jpg</t>
        </is>
      </c>
    </row>
    <row r="174">
      <c r="A174" s="2">
        <f>HYPERLINK("https://www.imdb.com/title/tt0042876/?ref_=chttp_i_173", "Rashomon")</f>
        <v/>
      </c>
      <c r="B174" t="n">
        <v>8.1</v>
      </c>
      <c r="D174" t="inlineStr">
        <is>
          <t>https://www.imdb.com/title/tt0042876/?ref_=chttp_i_173</t>
        </is>
      </c>
      <c r="E174" t="inlineStr">
        <is>
          <t>https://m.media-amazon.com/images/M/MV5BZDlkYjViMDAtYjkxNy00ZDk1LWE5MmUtNDc4NDU3ZWJmOTYzXkEyXkFqcGc@._V1_QL75_UX90_CR0,1,90,133_.jpg</t>
        </is>
      </c>
    </row>
    <row r="175">
      <c r="A175" s="2">
        <f>HYPERLINK("https://www.imdb.com/title/tt5027774/?ref_=chttp_i_174", "Three Billboards Outside Ebbing, Missouri")</f>
        <v/>
      </c>
      <c r="B175" t="n">
        <v>8.1</v>
      </c>
      <c r="D175" t="inlineStr">
        <is>
          <t>https://www.imdb.com/title/tt5027774/?ref_=chttp_i_174</t>
        </is>
      </c>
      <c r="E175" t="inlineStr">
        <is>
          <t>https://m.media-amazon.com/images/M/MV5BMjI0ODcxNzM1N15BMl5BanBnXkFtZTgwMzIwMTEwNDI@._V1_QL75_UX90_CR0,0,90,133_.jpg</t>
        </is>
      </c>
    </row>
    <row r="176">
      <c r="A176" s="2">
        <f>HYPERLINK("https://www.imdb.com/title/tt0117951/?ref_=chttp_i_175", "Trainspotting")</f>
        <v/>
      </c>
      <c r="B176" t="n">
        <v>8.1</v>
      </c>
      <c r="D176" t="inlineStr">
        <is>
          <t>https://www.imdb.com/title/tt0117951/?ref_=chttp_i_175</t>
        </is>
      </c>
      <c r="E176" t="inlineStr">
        <is>
          <t>https://m.media-amazon.com/images/M/MV5BYmVkNGJkMzQtYWQwOS00OTZmLThjODQtZjNjNzllYzRiNTE0XkEyXkFqcGc@._V1_QL75_UX90_CR0,0,90,133_.jpg</t>
        </is>
      </c>
    </row>
    <row r="177">
      <c r="A177" s="2">
        <f>HYPERLINK("https://www.imdb.com/title/tt0050212/?ref_=chttp_i_176", "The Bridge on the River Kwai")</f>
        <v/>
      </c>
      <c r="B177" t="n">
        <v>8.1</v>
      </c>
      <c r="D177" t="inlineStr">
        <is>
          <t>https://www.imdb.com/title/tt0050212/?ref_=chttp_i_176</t>
        </is>
      </c>
      <c r="E177" t="inlineStr">
        <is>
          <t>https://m.media-amazon.com/images/M/MV5BNzdkYmU2YmItNmZiYy00OWQyLTg0YWYtZmUxM2U3YTRiNTQ1XkEyXkFqcGc@._V1_QL75_UX90_CR0,3,90,133_.jpg</t>
        </is>
      </c>
    </row>
    <row r="178">
      <c r="A178" s="2">
        <f>HYPERLINK("https://www.imdb.com/title/tt1201607/?ref_=chttp_i_177", "Harry Potter and the Deathly Hallows: Part 2")</f>
        <v/>
      </c>
      <c r="B178" t="n">
        <v>8.1</v>
      </c>
      <c r="D178" t="inlineStr">
        <is>
          <t>https://www.imdb.com/title/tt1201607/?ref_=chttp_i_177</t>
        </is>
      </c>
      <c r="E178" t="inlineStr">
        <is>
          <t>https://m.media-amazon.com/images/M/MV5BOTA1Mzc2N2ItZWRiNS00MjQzLTlmZDQtMjU0NmY1YWRkMGQ4XkEyXkFqcGc@._V1_QL75_UX90_CR0,1,90,133_.jpg</t>
        </is>
      </c>
    </row>
    <row r="179">
      <c r="A179" s="2">
        <f>HYPERLINK("https://www.imdb.com/title/tt0097165/?ref_=chttp_i_178", "Dead Poets Society")</f>
        <v/>
      </c>
      <c r="B179" t="n">
        <v>8.1</v>
      </c>
      <c r="D179" t="inlineStr">
        <is>
          <t>https://www.imdb.com/title/tt0097165/?ref_=chttp_i_178</t>
        </is>
      </c>
      <c r="E179" t="inlineStr">
        <is>
          <t>https://m.media-amazon.com/images/M/MV5BMDYwNGVlY2ItMWYxMS00YjZiLWE5MTAtYWM5NWQ2ZWJjY2Q3XkEyXkFqcGc@._V1_QL75_UY133_CR0,0,90,133_.jpg</t>
        </is>
      </c>
    </row>
    <row r="180">
      <c r="A180" s="2">
        <f>HYPERLINK("https://www.imdb.com/title/tt29623480/?ref_=chttp_i_179", "The Wild Robot")</f>
        <v/>
      </c>
      <c r="B180" t="n">
        <v>8.199999999999999</v>
      </c>
      <c r="D180" t="inlineStr">
        <is>
          <t>https://www.imdb.com/title/tt29623480/?ref_=chttp_i_179</t>
        </is>
      </c>
      <c r="E180" t="inlineStr">
        <is>
          <t>https://m.media-amazon.com/images/M/MV5BZWNiZjVlZTUtNGUwYi00MjJmLTg2MDctNWEzYTJiMzY1ODc4XkEyXkFqcGc@._V1_QL75_UX90_CR0,4,90,133_.jpg</t>
        </is>
      </c>
    </row>
    <row r="181">
      <c r="A181" s="2">
        <f>HYPERLINK("https://www.imdb.com/title/tt1291584/?ref_=chttp_i_180", "Warrior")</f>
        <v/>
      </c>
      <c r="B181" t="n">
        <v>8.1</v>
      </c>
      <c r="D181" t="inlineStr">
        <is>
          <t>https://www.imdb.com/title/tt1291584/?ref_=chttp_i_180</t>
        </is>
      </c>
      <c r="E181" t="inlineStr">
        <is>
          <t>https://m.media-amazon.com/images/M/MV5BMTk4ODk5MTMyNV5BMl5BanBnXkFtZTcwMDMyNTg0Ng@@._V1_QL75_UX90_CR0,3,90,133_.jpg</t>
        </is>
      </c>
    </row>
    <row r="182">
      <c r="A182" s="2">
        <f>HYPERLINK("https://www.imdb.com/title/tt0072684/?ref_=chttp_i_181", "Barry Lyndon")</f>
        <v/>
      </c>
      <c r="B182" t="n">
        <v>8.1</v>
      </c>
      <c r="D182" t="inlineStr">
        <is>
          <t>https://www.imdb.com/title/tt0072684/?ref_=chttp_i_181</t>
        </is>
      </c>
      <c r="E182" t="inlineStr">
        <is>
          <t>https://m.media-amazon.com/images/M/MV5BNmM2MGQ5Y2UtYzA3ZC00ZDJlLTkwNDYtMjBmZGExZDJiN2RlXkEyXkFqcGc@._V1_QL75_UX90_CR0,2,90,133_.jpg</t>
        </is>
      </c>
    </row>
    <row r="183">
      <c r="A183" s="2">
        <f>HYPERLINK("https://www.imdb.com/title/tt0252488/?ref_=chttp_i_182", "The Chaos Class Failed the Class")</f>
        <v/>
      </c>
      <c r="B183" t="n">
        <v>8.5</v>
      </c>
      <c r="D183" t="inlineStr">
        <is>
          <t>https://www.imdb.com/title/tt0252488/?ref_=chttp_i_182</t>
        </is>
      </c>
      <c r="E183" t="inlineStr">
        <is>
          <t>https://m.media-amazon.com/images/M/MV5BZmY3MjVhMmQtOTcwYy00ZjcyLWFiZDgtN2JiODVjNjQzYWQyXkEyXkFqcGc@._V1_QL75_UX90_CR0,1,90,133_.jpg</t>
        </is>
      </c>
    </row>
    <row r="184">
      <c r="A184" s="2">
        <f>HYPERLINK("https://www.imdb.com/title/tt0116282/?ref_=chttp_i_183", "Fargo")</f>
        <v/>
      </c>
      <c r="B184" t="n">
        <v>8.1</v>
      </c>
      <c r="D184" t="inlineStr">
        <is>
          <t>https://www.imdb.com/title/tt0116282/?ref_=chttp_i_183</t>
        </is>
      </c>
      <c r="E184" t="inlineStr">
        <is>
          <t>https://m.media-amazon.com/images/M/MV5BNjg4MWE0MjEtODFhNy00MjA5LTg5ODktMzgwNWFmZTAwNjBlXkEyXkFqcGc@._V1_QL75_UY133_CR0,0,90,133_.jpg</t>
        </is>
      </c>
    </row>
    <row r="185">
      <c r="A185" s="2">
        <f>HYPERLINK("https://www.imdb.com/title/tt0052618/?ref_=chttp_i_184", "Ben-Hur")</f>
        <v/>
      </c>
      <c r="B185" t="n">
        <v>8.1</v>
      </c>
      <c r="D185" t="inlineStr">
        <is>
          <t>https://www.imdb.com/title/tt0052618/?ref_=chttp_i_184</t>
        </is>
      </c>
      <c r="E185" t="inlineStr">
        <is>
          <t>https://m.media-amazon.com/images/M/MV5BNjg2M2E1YzYtOThmMC00NjAyLWI5MzgtMDEwOGFiODdlOGUzXkEyXkFqcGc@._V1_QL75_UX90_CR0,2,90,133_.jpg</t>
        </is>
      </c>
    </row>
    <row r="186">
      <c r="A186" s="2">
        <f>HYPERLINK("https://www.imdb.com/title/tt0081398/?ref_=chttp_i_185", "Raging Bull")</f>
        <v/>
      </c>
      <c r="B186" t="n">
        <v>8.1</v>
      </c>
      <c r="D186" t="inlineStr">
        <is>
          <t>https://www.imdb.com/title/tt0081398/?ref_=chttp_i_185</t>
        </is>
      </c>
      <c r="E186" t="inlineStr">
        <is>
          <t>https://m.media-amazon.com/images/M/MV5BMjlkYmYyZWQtNTZkOS00ZjA0LWEwNWUtNzE2ZGNiYjg0MjA2XkEyXkFqcGc@._V1_QL75_UY133_CR0,0,90,133_.jpg</t>
        </is>
      </c>
    </row>
    <row r="187">
      <c r="A187" s="2">
        <f>HYPERLINK("https://www.imdb.com/title/tt0405159/?ref_=chttp_i_186", "Million Dollar Baby")</f>
        <v/>
      </c>
      <c r="B187" t="n">
        <v>8.1</v>
      </c>
      <c r="D187" t="inlineStr">
        <is>
          <t>https://www.imdb.com/title/tt0405159/?ref_=chttp_i_186</t>
        </is>
      </c>
      <c r="E187" t="inlineStr">
        <is>
          <t>https://m.media-amazon.com/images/M/MV5BMTkxNzA1NDQxOV5BMl5BanBnXkFtZTcwNTkyMTIzMw@@._V1_QL75_UY133_CR0,0,90,133_.jpg</t>
        </is>
      </c>
    </row>
    <row r="188">
      <c r="A188" s="2">
        <f>HYPERLINK("https://www.imdb.com/title/tt1392190/?ref_=chttp_i_187", "Mad Max: Fury Road")</f>
        <v/>
      </c>
      <c r="B188" t="n">
        <v>8.1</v>
      </c>
      <c r="D188" t="inlineStr">
        <is>
          <t>https://www.imdb.com/title/tt1392190/?ref_=chttp_i_187</t>
        </is>
      </c>
      <c r="E188" t="inlineStr">
        <is>
          <t>https://m.media-amazon.com/images/M/MV5BZDRkODJhOTgtOTc1OC00NTgzLTk4NjItNDgxZDY4YjlmNDY2XkEyXkFqcGc@._V1_QL75_UX90_CR0,0,90,133_.jpg</t>
        </is>
      </c>
    </row>
    <row r="189">
      <c r="A189" s="2">
        <f>HYPERLINK("https://www.imdb.com/title/tt0118849/?ref_=chttp_i_188", "Children of Heaven")</f>
        <v/>
      </c>
      <c r="B189" t="n">
        <v>8.199999999999999</v>
      </c>
      <c r="D189" t="inlineStr">
        <is>
          <t>https://www.imdb.com/title/tt0118849/?ref_=chttp_i_188</t>
        </is>
      </c>
      <c r="E189" t="inlineStr">
        <is>
          <t>https://m.media-amazon.com/images/M/MV5BZWZlMjNhNzgtZGRhOS00Y2U5LThjOTctODNjZTI0ZTBiYzBhXkEyXkFqcGc@._V1_QL75_UX90_CR0,2,90,133_.jpg</t>
        </is>
      </c>
    </row>
    <row r="190">
      <c r="A190" s="2">
        <f>HYPERLINK("https://www.imdb.com/title/tt2119532/?ref_=chttp_i_189", "Hacksaw Ridge")</f>
        <v/>
      </c>
      <c r="B190" t="n">
        <v>8.1</v>
      </c>
      <c r="D190" t="inlineStr">
        <is>
          <t>https://www.imdb.com/title/tt2119532/?ref_=chttp_i_189</t>
        </is>
      </c>
      <c r="E190" t="inlineStr">
        <is>
          <t>https://m.media-amazon.com/images/M/MV5BMjQ1NjM3MTUxNV5BMl5BanBnXkFtZTgwMDc5MTY5OTE@._V1_QL75_UX90_CR0,3,90,133_.jpg</t>
        </is>
      </c>
    </row>
    <row r="191">
      <c r="A191" s="2">
        <f>HYPERLINK("https://www.imdb.com/title/tt0096283/?ref_=chttp_i_190", "My Neighbor Totoro")</f>
        <v/>
      </c>
      <c r="B191" t="n">
        <v>8.1</v>
      </c>
      <c r="D191" t="inlineStr">
        <is>
          <t>https://www.imdb.com/title/tt0096283/?ref_=chttp_i_190</t>
        </is>
      </c>
      <c r="E191" t="inlineStr">
        <is>
          <t>https://m.media-amazon.com/images/M/MV5BYWM3MDE3YjEtMzIzZC00ODE5LTgxNTItNmUyMTBkM2M2NmNiXkEyXkFqcGc@._V1_QL75_UX90_CR0,0,90,133_.jpg</t>
        </is>
      </c>
    </row>
    <row r="192">
      <c r="A192" s="2">
        <f>HYPERLINK("https://www.imdb.com/title/tt1205489/?ref_=chttp_i_191", "Gran Torino")</f>
        <v/>
      </c>
      <c r="B192" t="n">
        <v>8.1</v>
      </c>
      <c r="D192" t="inlineStr">
        <is>
          <t>https://www.imdb.com/title/tt1205489/?ref_=chttp_i_191</t>
        </is>
      </c>
      <c r="E192" t="inlineStr">
        <is>
          <t>https://m.media-amazon.com/images/M/MV5BMTc5NTk2OTU1Nl5BMl5BanBnXkFtZTcwMDc3NjAwMg@@._V1_QL75_UY133_CR0,0,90,133_.jpg</t>
        </is>
      </c>
    </row>
    <row r="193">
      <c r="A193" s="2">
        <f>HYPERLINK("https://www.imdb.com/title/tt0382932/?ref_=chttp_i_192", "Ratatouille")</f>
        <v/>
      </c>
      <c r="B193" t="n">
        <v>8.1</v>
      </c>
      <c r="D193" t="inlineStr">
        <is>
          <t>https://www.imdb.com/title/tt0382932/?ref_=chttp_i_192</t>
        </is>
      </c>
      <c r="E193" t="inlineStr">
        <is>
          <t>https://m.media-amazon.com/images/M/MV5BMTMzODU0NTkxMF5BMl5BanBnXkFtZTcwMjQ4MzMzMw@@._V1_QL75_UX90_CR0,0,90,133_.jpg</t>
        </is>
      </c>
    </row>
    <row r="194">
      <c r="A194" s="2">
        <f>HYPERLINK("https://www.imdb.com/title/tt2024544/?ref_=chttp_i_193", "12 Years a Slave")</f>
        <v/>
      </c>
      <c r="B194" t="n">
        <v>8.1</v>
      </c>
      <c r="D194" t="inlineStr">
        <is>
          <t>https://www.imdb.com/title/tt2024544/?ref_=chttp_i_193</t>
        </is>
      </c>
      <c r="E194" t="inlineStr">
        <is>
          <t>https://m.media-amazon.com/images/M/MV5BMjExMTEzODkyN15BMl5BanBnXkFtZTcwNTU4NTc4OQ@@._V1_QL75_UX90_CR0,0,90,133_.jpg</t>
        </is>
      </c>
    </row>
    <row r="195">
      <c r="A195" s="2">
        <f>HYPERLINK("https://www.imdb.com/title/tt2278388/?ref_=chttp_i_194", "The Grand Budapest Hotel")</f>
        <v/>
      </c>
      <c r="B195" t="n">
        <v>8.1</v>
      </c>
      <c r="D195" t="inlineStr">
        <is>
          <t>https://www.imdb.com/title/tt2278388/?ref_=chttp_i_194</t>
        </is>
      </c>
      <c r="E195" t="inlineStr">
        <is>
          <t>https://m.media-amazon.com/images/M/MV5BMzM5NjUxOTEyMl5BMl5BanBnXkFtZTgwNjEyMDM0MDE@._V1_QL75_UX90_CR0,0,90,133_.jpg</t>
        </is>
      </c>
    </row>
    <row r="196">
      <c r="A196" s="2">
        <f>HYPERLINK("https://www.imdb.com/title/tt0112471/?ref_=chttp_i_195", "Before Sunrise")</f>
        <v/>
      </c>
      <c r="B196" t="n">
        <v>8.1</v>
      </c>
      <c r="D196" t="inlineStr">
        <is>
          <t>https://www.imdb.com/title/tt0112471/?ref_=chttp_i_195</t>
        </is>
      </c>
      <c r="E196" t="inlineStr">
        <is>
          <t>https://m.media-amazon.com/images/M/MV5BZDZhZmI1ZTUtYWI3NC00NTMwLTk3NWMtNDc0OGNjM2I0ZjlmXkEyXkFqcGc@._V1_QL75_UX90_CR0,0,90,133_.jpg</t>
        </is>
      </c>
    </row>
    <row r="197">
      <c r="A197" s="2">
        <f>HYPERLINK("https://www.imdb.com/title/tt0353969/?ref_=chttp_i_196", "Memories of Murder")</f>
        <v/>
      </c>
      <c r="B197" t="n">
        <v>8.1</v>
      </c>
      <c r="D197" t="inlineStr">
        <is>
          <t>https://www.imdb.com/title/tt0353969/?ref_=chttp_i_196</t>
        </is>
      </c>
      <c r="E197" t="inlineStr">
        <is>
          <t>https://m.media-amazon.com/images/M/MV5BYmRjOWE5NmMtYTdkYS00ODFlLWJiMTMtYzE2NDZlZjlkZDQ0XkEyXkFqcGc@._V1_QL75_UX90_CR0,0,90,133_.jpg</t>
        </is>
      </c>
    </row>
    <row r="198">
      <c r="A198" s="2">
        <f>HYPERLINK("https://www.imdb.com/title/tt0083658/?ref_=chttp_i_197", "Blade Runner")</f>
        <v/>
      </c>
      <c r="B198" t="n">
        <v>8.1</v>
      </c>
      <c r="D198" t="inlineStr">
        <is>
          <t>https://www.imdb.com/title/tt0083658/?ref_=chttp_i_197</t>
        </is>
      </c>
      <c r="E198" t="inlineStr">
        <is>
          <t>https://m.media-amazon.com/images/M/MV5BOWQ4YTBmNTQtMDYxMC00NGFjLTkwOGQtNzdhNmY1Nzc1MzUxXkEyXkFqcGc@._V1_QL75_UX90_CR0,0,90,133_.jpg</t>
        </is>
      </c>
    </row>
    <row r="199">
      <c r="A199" s="2">
        <f>HYPERLINK("https://www.imdb.com/title/tt0892769/?ref_=chttp_i_198", "How to Train Your Dragon")</f>
        <v/>
      </c>
      <c r="B199" t="n">
        <v>8.1</v>
      </c>
      <c r="D199" t="inlineStr">
        <is>
          <t>https://www.imdb.com/title/tt0892769/?ref_=chttp_i_198</t>
        </is>
      </c>
      <c r="E199" t="inlineStr">
        <is>
          <t>https://m.media-amazon.com/images/M/MV5BMjA5NDQyMjc2NF5BMl5BanBnXkFtZTcwMjg5ODcyMw@@._V1_QL75_UX90_CR0,0,90,133_.jpg</t>
        </is>
      </c>
    </row>
    <row r="200">
      <c r="A200" s="2">
        <f>HYPERLINK("https://www.imdb.com/title/tt10872600/?ref_=chttp_i_199", "Spider-Man: No Way Home")</f>
        <v/>
      </c>
      <c r="B200" t="n">
        <v>8.1</v>
      </c>
      <c r="D200" t="inlineStr">
        <is>
          <t>https://www.imdb.com/title/tt10872600/?ref_=chttp_i_199</t>
        </is>
      </c>
      <c r="E200" t="inlineStr">
        <is>
          <t>https://m.media-amazon.com/images/M/MV5BMmFiZGZjMmEtMTA0Ni00MzA2LTljMTYtZGI2MGJmZWYzZTQ2XkEyXkFqcGc@._V1_QL75_UX90_CR0,1,90,133_.jpg</t>
        </is>
      </c>
    </row>
    <row r="201">
      <c r="A201" s="2">
        <f>HYPERLINK("https://www.imdb.com/title/tt2267998/?ref_=chttp_i_200", "Gone Girl")</f>
        <v/>
      </c>
      <c r="B201" t="n">
        <v>8.1</v>
      </c>
      <c r="D201" t="inlineStr">
        <is>
          <t>https://www.imdb.com/title/tt2267998/?ref_=chttp_i_200</t>
        </is>
      </c>
      <c r="E201" t="inlineStr">
        <is>
          <t>https://m.media-amazon.com/images/M/MV5BMTk0MDQ3MzAzOV5BMl5BanBnXkFtZTgwNzU1NzE3MjE@._V1_QL75_UY133_CR0,0,90,133_.jpg</t>
        </is>
      </c>
    </row>
    <row r="202">
      <c r="A202" s="2">
        <f>HYPERLINK("https://www.imdb.com/title/tt0198781/?ref_=chttp_i_201", "Monsters, Inc.")</f>
        <v/>
      </c>
      <c r="B202" t="n">
        <v>8.1</v>
      </c>
      <c r="D202" t="inlineStr">
        <is>
          <t>https://www.imdb.com/title/tt0198781/?ref_=chttp_i_201</t>
        </is>
      </c>
      <c r="E202" t="inlineStr">
        <is>
          <t>https://m.media-amazon.com/images/M/MV5BMTY1NTI0ODUyOF5BMl5BanBnXkFtZTgwNTEyNjQ0MDE@._V1_QL75_UX90_CR0,0,90,133_.jpg</t>
        </is>
      </c>
    </row>
    <row r="203">
      <c r="A203" s="2">
        <f>HYPERLINK("https://www.imdb.com/title/tt0073195/?ref_=chttp_i_202", "Jaws")</f>
        <v/>
      </c>
      <c r="B203" t="n">
        <v>8.1</v>
      </c>
      <c r="D203" t="inlineStr">
        <is>
          <t>https://www.imdb.com/title/tt0073195/?ref_=chttp_i_202</t>
        </is>
      </c>
      <c r="E203" t="inlineStr">
        <is>
          <t>https://m.media-amazon.com/images/M/MV5BYjViNDQzNmUtYzkxZi00NTk5LTljMmItYjJlZmZkODIxNjU1XkEyXkFqcGc@._V1_QL75_UX90_CR0,2,90,133_.jpg</t>
        </is>
      </c>
    </row>
    <row r="204">
      <c r="A204" s="2">
        <f>HYPERLINK("https://www.imdb.com/title/tt0107207/?ref_=chttp_i_203", "In the Name of the Father")</f>
        <v/>
      </c>
      <c r="B204" t="n">
        <v>8.1</v>
      </c>
      <c r="D204" t="inlineStr">
        <is>
          <t>https://www.imdb.com/title/tt0107207/?ref_=chttp_i_203</t>
        </is>
      </c>
      <c r="E204" t="inlineStr">
        <is>
          <t>https://m.media-amazon.com/images/M/MV5BMGZiZDVjNzYtZWM4ZC00MzVkLThhNDEtMDJlOTBhYzVjMmNhXkEyXkFqcGc@._V1_QL75_UX90_CR0,0,90,133_.jpg</t>
        </is>
      </c>
    </row>
    <row r="205">
      <c r="A205" s="2">
        <f>HYPERLINK("https://www.imdb.com/title/tt1950186/?ref_=chttp_i_204", "Ford v Ferrari")</f>
        <v/>
      </c>
      <c r="B205" t="n">
        <v>8.1</v>
      </c>
      <c r="D205" t="inlineStr">
        <is>
          <t>https://www.imdb.com/title/tt1950186/?ref_=chttp_i_204</t>
        </is>
      </c>
      <c r="E205" t="inlineStr">
        <is>
          <t>https://m.media-amazon.com/images/M/MV5BOTBjNTEyNjYtYjdkNi00YzE5LTljYzUtZjVlYmYwZmJmZWYxXkEyXkFqcGc@._V1_QL75_UX90_CR0,0,90,133_.jpg</t>
        </is>
      </c>
    </row>
    <row r="206">
      <c r="A206" s="2">
        <f>HYPERLINK("https://www.imdb.com/title/tt3011894/?ref_=chttp_i_205", "Wild Tales")</f>
        <v/>
      </c>
      <c r="B206" t="n">
        <v>8.1</v>
      </c>
      <c r="D206" t="inlineStr">
        <is>
          <t>https://www.imdb.com/title/tt3011894/?ref_=chttp_i_205</t>
        </is>
      </c>
      <c r="E206" t="inlineStr">
        <is>
          <t>https://m.media-amazon.com/images/M/MV5BNzAzMjA1ODAxOV5BMl5BanBnXkFtZTgwODg4NTQzNDE@._V1_QL75_UX90_CR0,0,90,133_.jpg</t>
        </is>
      </c>
    </row>
    <row r="207">
      <c r="A207" s="2">
        <f>HYPERLINK("https://www.imdb.com/title/tt0015864/?ref_=chttp_i_206", "The Gold Rush")</f>
        <v/>
      </c>
      <c r="B207" t="n">
        <v>8.1</v>
      </c>
      <c r="D207" t="inlineStr">
        <is>
          <t>https://www.imdb.com/title/tt0015864/?ref_=chttp_i_206</t>
        </is>
      </c>
      <c r="E207" t="inlineStr">
        <is>
          <t>https://m.media-amazon.com/images/M/MV5BOTE1MWFkOWQtOWM1NC00ZjA4LTk5NmUtZTFjZDFjMzEwYTQzXkEyXkFqcGc@._V1_QL75_UY133_CR4,0,90,133_.jpg</t>
        </is>
      </c>
    </row>
    <row r="208">
      <c r="A208" s="2">
        <f>HYPERLINK("https://www.imdb.com/title/tt0015324/?ref_=chttp_i_207", "Sherlock Jr.")</f>
        <v/>
      </c>
      <c r="B208" t="n">
        <v>8.1</v>
      </c>
      <c r="D208" t="inlineStr">
        <is>
          <t>https://www.imdb.com/title/tt0015324/?ref_=chttp_i_207</t>
        </is>
      </c>
      <c r="E208" t="inlineStr">
        <is>
          <t>https://m.media-amazon.com/images/M/MV5BMjQzM2E2NjYtYmRjMC00ZmVlLTljZTgtNmQ5MGZlNDYyZTc5XkEyXkFqcGc@._V1_QL75_UX90_CR0,4,90,133_.jpg</t>
        </is>
      </c>
    </row>
    <row r="209">
      <c r="A209" s="2">
        <f>HYPERLINK("https://www.imdb.com/title/tt0978762/?ref_=chttp_i_208", "Mary and Max")</f>
        <v/>
      </c>
      <c r="B209" t="n">
        <v>8.1</v>
      </c>
      <c r="D209" t="inlineStr">
        <is>
          <t>https://www.imdb.com/title/tt0978762/?ref_=chttp_i_208</t>
        </is>
      </c>
      <c r="E209" t="inlineStr">
        <is>
          <t>https://m.media-amazon.com/images/M/MV5BNzY2Mjc4NjMtNGY4Mi00NzM5LTk3ZTQtN2VkNzVkMzRmM2Y2XkEyXkFqcGc@._V1_QL75_UY133_CR2,0,90,133_.jpg</t>
        </is>
      </c>
    </row>
    <row r="210">
      <c r="A210" s="2">
        <f>HYPERLINK("https://www.imdb.com/title/tt0077416/?ref_=chttp_i_209", "The Deer Hunter")</f>
        <v/>
      </c>
      <c r="B210" t="n">
        <v>8.1</v>
      </c>
      <c r="D210" t="inlineStr">
        <is>
          <t>https://www.imdb.com/title/tt0077416/?ref_=chttp_i_209</t>
        </is>
      </c>
      <c r="E210" t="inlineStr">
        <is>
          <t>https://m.media-amazon.com/images/M/MV5BZGI4YmVhMzMtMWExMS00MGZiLTg2MmItM2I2MWZjODAyM2U5XkEyXkFqcGc@._V1_QL75_UY133_CR0,0,90,133_.jpg</t>
        </is>
      </c>
    </row>
    <row r="211">
      <c r="A211" s="2">
        <f>HYPERLINK("https://www.imdb.com/title/tt0046268/?ref_=chttp_i_210", "The Wages of Fear")</f>
        <v/>
      </c>
      <c r="B211" t="n">
        <v>8.1</v>
      </c>
      <c r="D211" t="inlineStr">
        <is>
          <t>https://www.imdb.com/title/tt0046268/?ref_=chttp_i_210</t>
        </is>
      </c>
      <c r="E211" t="inlineStr">
        <is>
          <t>https://m.media-amazon.com/images/M/MV5BMDdhOGMwODQtZGM2MS00NGQxLWEyZDMtOTkzMjFjYjI3ZmM2XkEyXkFqcGc@._V1_QL75_UY133_CR1,0,90,133_.jpg</t>
        </is>
      </c>
    </row>
    <row r="212">
      <c r="A212" s="2">
        <f>HYPERLINK("https://www.imdb.com/title/tt0017925/?ref_=chttp_i_211", "The General")</f>
        <v/>
      </c>
      <c r="B212" t="n">
        <v>8.1</v>
      </c>
      <c r="D212" t="inlineStr">
        <is>
          <t>https://www.imdb.com/title/tt0017925/?ref_=chttp_i_211</t>
        </is>
      </c>
      <c r="E212" t="inlineStr">
        <is>
          <t>https://m.media-amazon.com/images/M/MV5BMTVhM2Y1MDUtMDkxYi00Y2UxLWI2MTMtZjMzYTY4ODM4MGIzXkEyXkFqcGc@._V1_QL75_UX90_CR0,0,90,133_.jpg</t>
        </is>
      </c>
    </row>
    <row r="213">
      <c r="A213" s="2">
        <f>HYPERLINK("https://www.imdb.com/title/tt3315342/?ref_=chttp_i_212", "Logan")</f>
        <v/>
      </c>
      <c r="B213" t="n">
        <v>8.1</v>
      </c>
      <c r="D213" t="inlineStr">
        <is>
          <t>https://www.imdb.com/title/tt3315342/?ref_=chttp_i_212</t>
        </is>
      </c>
      <c r="E213" t="inlineStr">
        <is>
          <t>https://m.media-amazon.com/images/M/MV5BM2JjODdkMGMtNmY2YS00OGM2LThiY2YtZGYyNzE4Nzc2ODA0XkEyXkFqcGc@._V1_QL75_UX90_CR0,1,90,133_.jpg</t>
        </is>
      </c>
    </row>
    <row r="214">
      <c r="A214" s="2">
        <f>HYPERLINK("https://www.imdb.com/title/tt0075148/?ref_=chttp_i_213", "Rocky")</f>
        <v/>
      </c>
      <c r="B214" t="n">
        <v>8.1</v>
      </c>
      <c r="D214" t="inlineStr">
        <is>
          <t>https://www.imdb.com/title/tt0075148/?ref_=chttp_i_213</t>
        </is>
      </c>
      <c r="E214" t="inlineStr">
        <is>
          <t>https://m.media-amazon.com/images/M/MV5BZDEyY2M2MGMtYjg5OC00ZWFjLWFkZDQtNmQzZTdiYmYzZTBkXkEyXkFqcGc@._V1_QL75_UX90_CR0,2,90,133_.jpg</t>
        </is>
      </c>
    </row>
    <row r="215">
      <c r="A215" s="2">
        <f>HYPERLINK("https://www.imdb.com/title/tt0031679/?ref_=chttp_i_214", "Mr. Smith Goes to Washington")</f>
        <v/>
      </c>
      <c r="B215" t="n">
        <v>8.1</v>
      </c>
      <c r="D215" t="inlineStr">
        <is>
          <t>https://www.imdb.com/title/tt0031679/?ref_=chttp_i_214</t>
        </is>
      </c>
      <c r="E215" t="inlineStr">
        <is>
          <t>https://m.media-amazon.com/images/M/MV5BMDU4ZjNmMjEtMjcxYi00NDAxLWFlMjQtNWIyNjg5NWUzNTdjXkEyXkFqcGc@._V1_QL75_UX90_CR0,1,90,133_.jpg</t>
        </is>
      </c>
    </row>
    <row r="216">
      <c r="A216" s="2">
        <f>HYPERLINK("https://www.imdb.com/title/tt0046438/?ref_=chttp_i_215", "Tokyo Story")</f>
        <v/>
      </c>
      <c r="B216" t="n">
        <v>8.1</v>
      </c>
      <c r="D216" t="inlineStr">
        <is>
          <t>https://www.imdb.com/title/tt0046438/?ref_=chttp_i_215</t>
        </is>
      </c>
      <c r="E216" t="inlineStr">
        <is>
          <t>https://m.media-amazon.com/images/M/MV5BODdkNzcxZjItMDU2Yy00Y2JlLWFkYTQtNzIwM2Q4MWU5MTU2XkEyXkFqcGc@._V1_QL75_UY133_CR1,0,90,133_.jpg</t>
        </is>
      </c>
    </row>
    <row r="217">
      <c r="A217" s="2">
        <f>HYPERLINK("https://www.imdb.com/title/tt0047296/?ref_=chttp_i_216", "On the Waterfront")</f>
        <v/>
      </c>
      <c r="B217" t="n">
        <v>8.1</v>
      </c>
      <c r="D217" t="inlineStr">
        <is>
          <t>https://www.imdb.com/title/tt0047296/?ref_=chttp_i_216</t>
        </is>
      </c>
      <c r="E217" t="inlineStr">
        <is>
          <t>https://m.media-amazon.com/images/M/MV5BZDJlYTM1ZGYtZTM4YS00MzFhLThiZjktYzQ0ZjAzMGYwZTU3XkEyXkFqcGc@._V1_QL75_UX90_CR0,1,90,133_.jpg</t>
        </is>
      </c>
    </row>
    <row r="218">
      <c r="A218" s="2">
        <f>HYPERLINK("https://www.imdb.com/title/tt0325980/?ref_=chttp_i_217", "Pirates of the Caribbean: The Curse of the Black Pearl")</f>
        <v/>
      </c>
      <c r="B218" t="n">
        <v>8.1</v>
      </c>
      <c r="D218" t="inlineStr">
        <is>
          <t>https://www.imdb.com/title/tt0325980/?ref_=chttp_i_217</t>
        </is>
      </c>
      <c r="E218" t="inlineStr">
        <is>
          <t>https://m.media-amazon.com/images/M/MV5BNDhlMzEyNzItMTA5Mi00YWRhLThlNTktYTQyMTA0MDIyNDEyXkEyXkFqcGc@._V1_QL75_UX90_CR0,0,90,133_.jpg</t>
        </is>
      </c>
    </row>
    <row r="219">
      <c r="A219" s="2">
        <f>HYPERLINK("https://www.imdb.com/title/tt0050986/?ref_=chttp_i_218", "Wild Strawberries")</f>
        <v/>
      </c>
      <c r="B219" t="n">
        <v>8.1</v>
      </c>
      <c r="D219" t="inlineStr">
        <is>
          <t>https://www.imdb.com/title/tt0050986/?ref_=chttp_i_218</t>
        </is>
      </c>
      <c r="E219" t="inlineStr">
        <is>
          <t>https://m.media-amazon.com/images/M/MV5BZWQ5MDllM2EtZWRmNS00MmZiLWI4ZWQtMjRiY2Q5MTAxODY4XkEyXkFqcGc@._V1_QL75_UX90_CR0,2,90,133_.jpg</t>
        </is>
      </c>
    </row>
    <row r="220">
      <c r="A220" s="2">
        <f>HYPERLINK("https://www.imdb.com/title/tt5323662/?ref_=chttp_i_219", "A Silent Voice: The Movie")</f>
        <v/>
      </c>
      <c r="B220" t="n">
        <v>8.199999999999999</v>
      </c>
      <c r="D220" t="inlineStr">
        <is>
          <t>https://www.imdb.com/title/tt5323662/?ref_=chttp_i_219</t>
        </is>
      </c>
      <c r="E220" t="inlineStr">
        <is>
          <t>https://m.media-amazon.com/images/M/MV5BOTFiNzRiOWEtYTQwNy00NmRiLWE0ZWYtNTE0YjExZjFmZjkwXkEyXkFqcGc@._V1_QL75_UY133_CR1,0,90,133_.jpg</t>
        </is>
      </c>
    </row>
    <row r="221">
      <c r="A221" s="2">
        <f>HYPERLINK("https://www.imdb.com/title/tt1895587/?ref_=chttp_i_220", "Spotlight")</f>
        <v/>
      </c>
      <c r="B221" t="n">
        <v>8.1</v>
      </c>
      <c r="D221" t="inlineStr">
        <is>
          <t>https://www.imdb.com/title/tt1895587/?ref_=chttp_i_220</t>
        </is>
      </c>
      <c r="E221" t="inlineStr">
        <is>
          <t>https://m.media-amazon.com/images/M/MV5BMjIyOTM5OTIzNV5BMl5BanBnXkFtZTgwMDkzODE2NjE@._V1_QL75_UY133_CR0,0,90,133_.jpg</t>
        </is>
      </c>
    </row>
    <row r="222">
      <c r="A222" s="2">
        <f>HYPERLINK("https://www.imdb.com/title/tt0113247/?ref_=chttp_i_221", "La haine")</f>
        <v/>
      </c>
      <c r="B222" t="n">
        <v>8.1</v>
      </c>
      <c r="D222" t="inlineStr">
        <is>
          <t>https://www.imdb.com/title/tt0113247/?ref_=chttp_i_221</t>
        </is>
      </c>
      <c r="E222" t="inlineStr">
        <is>
          <t>https://m.media-amazon.com/images/M/MV5BMThlMDA3NDYtZGM2Zi00NmJhLThlYWItZjViZTkzZWU1ZWRiXkEyXkFqcGc@._V1_QL75_UX90_CR0,0,90,133_.jpg</t>
        </is>
      </c>
    </row>
    <row r="223">
      <c r="A223" s="2">
        <f>HYPERLINK("https://www.imdb.com/title/tt0088247/?ref_=chttp_i_222", "The Terminator")</f>
        <v/>
      </c>
      <c r="B223" t="n">
        <v>8.1</v>
      </c>
      <c r="D223" t="inlineStr">
        <is>
          <t>https://www.imdb.com/title/tt0088247/?ref_=chttp_i_222</t>
        </is>
      </c>
      <c r="E223" t="inlineStr">
        <is>
          <t>https://m.media-amazon.com/images/M/MV5BZmE0YzIxM2QtMGNlMi00MjRmLWE3MWMtOWQzMGVjMmU0YTFmXkEyXkFqcGc@._V1_QL75_UX90_CR0,1,90,133_.jpg</t>
        </is>
      </c>
    </row>
    <row r="224">
      <c r="A224" s="2">
        <f>HYPERLINK("https://www.imdb.com/title/tt0059742/?ref_=chttp_i_223", "The Sound of Music")</f>
        <v/>
      </c>
      <c r="B224" t="n">
        <v>8.1</v>
      </c>
      <c r="D224" t="inlineStr">
        <is>
          <t>https://www.imdb.com/title/tt0059742/?ref_=chttp_i_223</t>
        </is>
      </c>
      <c r="E224" t="inlineStr">
        <is>
          <t>https://m.media-amazon.com/images/M/MV5BYWJhYmU4MjQtZDJhYi00ZGVjLTlkNTEtNzkzNGVjOWQ3MjcwXkEyXkFqcGc@._V1_QL75_UX90_CR0,1,90,133_.jpg</t>
        </is>
      </c>
    </row>
    <row r="225">
      <c r="A225" s="2">
        <f>HYPERLINK("https://www.imdb.com/title/tt15097216/?ref_=chttp_i_224", "Jai Bhim")</f>
        <v/>
      </c>
      <c r="B225" t="n">
        <v>8.6</v>
      </c>
      <c r="D225" t="inlineStr">
        <is>
          <t>https://www.imdb.com/title/tt15097216/?ref_=chttp_i_224</t>
        </is>
      </c>
      <c r="E225" t="inlineStr">
        <is>
          <t>https://m.media-amazon.com/images/M/MV5BZjEyNDIzNmEtMjdkYS00ZDAwLTljOWYtNDRhYTVhYTlmOTk1XkEyXkFqcGc@._V1_QL75_UY133_CR8,0,90,133_.jpg</t>
        </is>
      </c>
    </row>
    <row r="226">
      <c r="A226" s="2">
        <f>HYPERLINK("https://www.imdb.com/title/tt26548265/?ref_=chttp_i_225", "Maharaja")</f>
        <v/>
      </c>
      <c r="B226" t="n">
        <v>8.300000000000001</v>
      </c>
      <c r="D226" t="inlineStr">
        <is>
          <t>https://www.imdb.com/title/tt26548265/?ref_=chttp_i_225</t>
        </is>
      </c>
      <c r="E226" t="inlineStr">
        <is>
          <t>https://m.media-amazon.com/images/M/MV5BOTFlMTIxOGItZTk0Zi00MTk2LWJiM2UtMzlhZWYzNjQ4N2Y3XkEyXkFqcGc@._V1_QL75_UY133_CR5,0,90,133_.jpg</t>
        </is>
      </c>
    </row>
    <row r="227">
      <c r="A227" s="2">
        <f>HYPERLINK("https://www.imdb.com/title/tt0041959/?ref_=chttp_i_226", "The Third Man")</f>
        <v/>
      </c>
      <c r="B227" t="n">
        <v>8.1</v>
      </c>
      <c r="D227" t="inlineStr">
        <is>
          <t>https://www.imdb.com/title/tt0041959/?ref_=chttp_i_226</t>
        </is>
      </c>
      <c r="E227" t="inlineStr">
        <is>
          <t>https://m.media-amazon.com/images/M/MV5BNGVjMTMxZTQtMmVlNy00YmI0LWJjMDUtYTgyZWU1Njg5ZGRiXkEyXkFqcGc@._V1_QL75_UX90_CR0,0,90,133_.jpg</t>
        </is>
      </c>
    </row>
    <row r="228">
      <c r="A228" s="2">
        <f>HYPERLINK("https://www.imdb.com/title/tt0118715/?ref_=chttp_i_227", "The Big Lebowski")</f>
        <v/>
      </c>
      <c r="B228" t="n">
        <v>8.1</v>
      </c>
      <c r="D228" t="inlineStr">
        <is>
          <t>https://www.imdb.com/title/tt0118715/?ref_=chttp_i_227</t>
        </is>
      </c>
      <c r="E228" t="inlineStr">
        <is>
          <t>https://m.media-amazon.com/images/M/MV5BY2E3OWQ5OWYtYTRkMC00NjVjLWIzZDQtNmRmM2ZiYTIyYmYxXkEyXkFqcGc@._V1_QL75_UY133_CR0,0,90,133_.jpg</t>
        </is>
      </c>
    </row>
    <row r="229">
      <c r="A229" s="2">
        <f>HYPERLINK("https://www.imdb.com/title/tt0036868/?ref_=chttp_i_228", "The Best Years of Our Lives")</f>
        <v/>
      </c>
      <c r="B229" t="n">
        <v>8.1</v>
      </c>
      <c r="D229" t="inlineStr">
        <is>
          <t>https://www.imdb.com/title/tt0036868/?ref_=chttp_i_228</t>
        </is>
      </c>
      <c r="E229" t="inlineStr">
        <is>
          <t>https://m.media-amazon.com/images/M/MV5BNTgxMzUyODQtMDJmZC00ZGMyLWI3MzAtZTYwYjBjZjFmMzIxXkEyXkFqcGc@._V1_QL75_UX90_CR0,1,90,133_.jpg</t>
        </is>
      </c>
    </row>
    <row r="230">
      <c r="A230" s="2">
        <f>HYPERLINK("https://www.imdb.com/title/tt30472557/?ref_=chttp_i_229", "Chainsaw Man - The Movie: Reze Arc")</f>
        <v/>
      </c>
      <c r="B230" t="n">
        <v>8.300000000000001</v>
      </c>
      <c r="D230" t="inlineStr">
        <is>
          <t>https://www.imdb.com/title/tt30472557/?ref_=chttp_i_229</t>
        </is>
      </c>
      <c r="E230" t="inlineStr">
        <is>
          <t>https://m.media-amazon.com/images/M/MV5BZmMzNGVhODktYmU5MS00MDg1LThlNTEtNTMyYTg5MDA0Njk4XkEyXkFqcGc@._V1_QL75_UX90_CR0,0,90,133_.jpg</t>
        </is>
      </c>
    </row>
    <row r="231">
      <c r="A231" s="2">
        <f>HYPERLINK("https://www.imdb.com/title/tt0050976/?ref_=chttp_i_230", "The Seventh Seal")</f>
        <v/>
      </c>
      <c r="B231" t="n">
        <v>8.1</v>
      </c>
      <c r="D231" t="inlineStr">
        <is>
          <t>https://www.imdb.com/title/tt0050976/?ref_=chttp_i_230</t>
        </is>
      </c>
      <c r="E231" t="inlineStr">
        <is>
          <t>https://m.media-amazon.com/images/M/MV5BZDlmYTkzOWUtODQ0MS00MmM4LWE3ZjMtYTEwNGUwMmJkYzIxXkEyXkFqcGc@._V1_QL75_UY133_CR1,0,90,133_.jpg</t>
        </is>
      </c>
    </row>
    <row r="232">
      <c r="A232" s="2">
        <f>HYPERLINK("https://www.imdb.com/title/tt0381681/?ref_=chttp_i_231", "Before Sunset")</f>
        <v/>
      </c>
      <c r="B232" t="n">
        <v>8.1</v>
      </c>
      <c r="D232" t="inlineStr">
        <is>
          <t>https://www.imdb.com/title/tt0381681/?ref_=chttp_i_231</t>
        </is>
      </c>
      <c r="E232" t="inlineStr">
        <is>
          <t>https://m.media-amazon.com/images/M/MV5BMTQ1MjAwNTM5Ml5BMl5BanBnXkFtZTYwNDM0MTc3._V1_QL75_UY133_CR0,0,90,133_.jpg</t>
        </is>
      </c>
    </row>
    <row r="233">
      <c r="A233" s="2">
        <f>HYPERLINK("https://www.imdb.com/title/tt3170832/?ref_=chttp_i_232", "Room")</f>
        <v/>
      </c>
      <c r="B233" t="n">
        <v>8.1</v>
      </c>
      <c r="D233" t="inlineStr">
        <is>
          <t>https://www.imdb.com/title/tt3170832/?ref_=chttp_i_232</t>
        </is>
      </c>
      <c r="E233" t="inlineStr">
        <is>
          <t>https://m.media-amazon.com/images/M/MV5BMjE4NzgzNzEwMl5BMl5BanBnXkFtZTgwMTMzMDE0NjE@._V1_QL75_UX90_CR0,0,90,133_.jpg</t>
        </is>
      </c>
    </row>
    <row r="234">
      <c r="A234" s="2">
        <f>HYPERLINK("https://www.imdb.com/title/tt0395169/?ref_=chttp_i_233", "Hotel Rwanda")</f>
        <v/>
      </c>
      <c r="B234" t="n">
        <v>8.1</v>
      </c>
      <c r="D234" t="inlineStr">
        <is>
          <t>https://www.imdb.com/title/tt0395169/?ref_=chttp_i_233</t>
        </is>
      </c>
      <c r="E234" t="inlineStr">
        <is>
          <t>https://m.media-amazon.com/images/M/MV5BY2FmMWRmZmQtN2IzMS00OGVmLWFmNjktMTM0YWQzODcwYTEwXkEyXkFqcGc@._V1_QL75_UY133_CR0,0,90,133_.jpg</t>
        </is>
      </c>
    </row>
    <row r="235">
      <c r="A235" s="2">
        <f>HYPERLINK("https://www.imdb.com/title/tt0317705/?ref_=chttp_i_234", "The Incredibles")</f>
        <v/>
      </c>
      <c r="B235" t="n">
        <v>8</v>
      </c>
      <c r="D235" t="inlineStr">
        <is>
          <t>https://www.imdb.com/title/tt0317705/?ref_=chttp_i_234</t>
        </is>
      </c>
      <c r="E235" t="inlineStr">
        <is>
          <t>https://m.media-amazon.com/images/M/MV5BMTY5OTU0OTc2NV5BMl5BanBnXkFtZTcwMzU4MDcyMQ@@._V1_QL75_UX90_CR0,0,90,133_.jpg</t>
        </is>
      </c>
    </row>
    <row r="236">
      <c r="A236" s="2">
        <f>HYPERLINK("https://www.imdb.com/title/tt0091763/?ref_=chttp_i_235", "Platoon")</f>
        <v/>
      </c>
      <c r="B236" t="n">
        <v>8.1</v>
      </c>
      <c r="D236" t="inlineStr">
        <is>
          <t>https://www.imdb.com/title/tt0091763/?ref_=chttp_i_235</t>
        </is>
      </c>
      <c r="E236" t="inlineStr">
        <is>
          <t>https://m.media-amazon.com/images/M/MV5BZjE4YjllODAtZGMxZS00Mjg2LThkOWUtZjNkMjQ5YThiNDU4XkEyXkFqcGc@._V1_QL75_UX90_CR0,4,90,133_.jpg</t>
        </is>
      </c>
    </row>
    <row r="237">
      <c r="A237" s="2">
        <f>HYPERLINK("https://www.imdb.com/title/tt1028532/?ref_=chttp_i_236", "Hachi: A Dog's Tale")</f>
        <v/>
      </c>
      <c r="B237" t="n">
        <v>8.1</v>
      </c>
      <c r="D237" t="inlineStr">
        <is>
          <t>https://www.imdb.com/title/tt1028532/?ref_=chttp_i_236</t>
        </is>
      </c>
      <c r="E237" t="inlineStr">
        <is>
          <t>https://m.media-amazon.com/images/M/MV5BNTU5NjYyYTgtZGQ3My00MzRhLThjNGYtZmVjN2JjYjhkMjhhXkEyXkFqcGc@._V1_QL75_UX90_CR0,0,90,133_.jpg</t>
        </is>
      </c>
    </row>
    <row r="238">
      <c r="A238" s="2">
        <f>HYPERLINK("https://www.imdb.com/title/tt0070047/?ref_=chttp_i_237", "The Exorcist")</f>
        <v/>
      </c>
      <c r="B238" t="n">
        <v>8.1</v>
      </c>
      <c r="D238" t="inlineStr">
        <is>
          <t>https://www.imdb.com/title/tt0070047/?ref_=chttp_i_237</t>
        </is>
      </c>
      <c r="E238" t="inlineStr">
        <is>
          <t>https://m.media-amazon.com/images/M/MV5BZjg3YjE4ZjAtYTdmYS00ZTBkLWE1ZjgtNzAzODUwNzRiYjlmXkEyXkFqcGc@._V1_QL75_UX90_CR0,2,90,133_.jpg</t>
        </is>
      </c>
    </row>
    <row r="239">
      <c r="A239" s="2">
        <f>HYPERLINK("https://www.imdb.com/title/tt1979320/?ref_=chttp_i_238", "Rush")</f>
        <v/>
      </c>
      <c r="B239" t="n">
        <v>8.1</v>
      </c>
      <c r="D239" t="inlineStr">
        <is>
          <t>https://www.imdb.com/title/tt1979320/?ref_=chttp_i_238</t>
        </is>
      </c>
      <c r="E239" t="inlineStr">
        <is>
          <t>https://m.media-amazon.com/images/M/MV5BMTZhOGQxM2ItNGQyYy00YzE5LWI5MjMtNmMzNGQzNDE1OTUzXkEyXkFqcGc@._V1_QL75_UX90_CR0,0,90,133_.jpg</t>
        </is>
      </c>
    </row>
    <row r="240">
      <c r="A240" s="2">
        <f>HYPERLINK("https://www.imdb.com/title/tt0129167/?ref_=chttp_i_239", "The Iron Giant")</f>
        <v/>
      </c>
      <c r="B240" t="n">
        <v>8.1</v>
      </c>
      <c r="D240" t="inlineStr">
        <is>
          <t>https://www.imdb.com/title/tt0129167/?ref_=chttp_i_239</t>
        </is>
      </c>
      <c r="E240" t="inlineStr">
        <is>
          <t>https://m.media-amazon.com/images/M/MV5BODM4ZjZjMGEtYmFiMy00MThjLWIzZjUtMDU0ODg1NTI2MzIwXkEyXkFqcGc@._V1_QL75_UX90_CR0,0,90,133_.jpg</t>
        </is>
      </c>
    </row>
    <row r="241">
      <c r="A241" s="2">
        <f>HYPERLINK("https://www.imdb.com/title/tt0032138/?ref_=chttp_i_240", "The Wizard of Oz")</f>
        <v/>
      </c>
      <c r="B241" t="n">
        <v>8.1</v>
      </c>
      <c r="D241" t="inlineStr">
        <is>
          <t>https://www.imdb.com/title/tt0032138/?ref_=chttp_i_240</t>
        </is>
      </c>
      <c r="E241" t="inlineStr">
        <is>
          <t>https://m.media-amazon.com/images/M/MV5BYWRmY2I0MGItYTQ0OC00NWZmLWIwMDktYjJlNDc0MzVhMmViXkEyXkFqcGc@._V1_QL75_UX90_CR0,2,90,133_.jpg</t>
        </is>
      </c>
    </row>
    <row r="242">
      <c r="A242" s="2">
        <f>HYPERLINK("https://www.imdb.com/title/tt0092005/?ref_=chttp_i_241", "Stand by Me")</f>
        <v/>
      </c>
      <c r="B242" t="n">
        <v>8.1</v>
      </c>
      <c r="D242" t="inlineStr">
        <is>
          <t>https://www.imdb.com/title/tt0092005/?ref_=chttp_i_241</t>
        </is>
      </c>
      <c r="E242" t="inlineStr">
        <is>
          <t>https://m.media-amazon.com/images/M/MV5BNGJkNTUwM2MtZWE2MS00YjNkLWE3MjktNWQwZDQxMDIyZWVmXkEyXkFqcGc@._V1_QL75_UX90_CR0,4,90,133_.jpg</t>
        </is>
      </c>
    </row>
    <row r="243">
      <c r="A243" s="2">
        <f>HYPERLINK("https://www.imdb.com/title/tt0019254/?ref_=chttp_i_242", "The Passion of Joan of Arc")</f>
        <v/>
      </c>
      <c r="B243" t="n">
        <v>8.1</v>
      </c>
      <c r="D243" t="inlineStr">
        <is>
          <t>https://www.imdb.com/title/tt0019254/?ref_=chttp_i_242</t>
        </is>
      </c>
      <c r="E243" t="inlineStr">
        <is>
          <t>https://m.media-amazon.com/images/M/MV5BNTE1MDliZjgtYTU2Yy00YjAxLTljYTItNDE2ZGYwYTY1MGQ1XkEyXkFqcGc@._V1_QL75_UX90_CR0,4,90,133_.jpg</t>
        </is>
      </c>
    </row>
    <row r="244">
      <c r="A244" s="2">
        <f>HYPERLINK("https://www.imdb.com/title/tt0476735/?ref_=chttp_i_243", "My Father and My Son")</f>
        <v/>
      </c>
      <c r="B244" t="n">
        <v>8.199999999999999</v>
      </c>
      <c r="D244" t="inlineStr">
        <is>
          <t>https://www.imdb.com/title/tt0476735/?ref_=chttp_i_243</t>
        </is>
      </c>
      <c r="E244" t="inlineStr">
        <is>
          <t>https://m.media-amazon.com/images/M/MV5BZDE3MTBkNmQtNGFjMC00YTcwLWExY2ItN2MyMGZkNWJlMmFmXkEyXkFqcGc@._V1_QL75_UX90_CR0,1,90,133_.jpg</t>
        </is>
      </c>
    </row>
    <row r="245">
      <c r="A245" s="2">
        <f>HYPERLINK("https://www.imdb.com/title/tt0058946/?ref_=chttp_i_244", "The Battle of Algiers")</f>
        <v/>
      </c>
      <c r="B245" t="n">
        <v>8.1</v>
      </c>
      <c r="D245" t="inlineStr">
        <is>
          <t>https://www.imdb.com/title/tt0058946/?ref_=chttp_i_244</t>
        </is>
      </c>
      <c r="E245" t="inlineStr">
        <is>
          <t>https://m.media-amazon.com/images/M/MV5BMTY2Mjk0OGEtYTM3Yy00ZWZiLWFhNjAtNGExMjEzNGVmMDMxXkEyXkFqcGc@._V1_QL75_UX90_CR0,2,90,133_.jpg</t>
        </is>
      </c>
    </row>
    <row r="246">
      <c r="A246" s="2">
        <f>HYPERLINK("https://www.imdb.com/title/tt4016934/?ref_=chttp_i_245", "The Handmaiden")</f>
        <v/>
      </c>
      <c r="B246" t="n">
        <v>8.1</v>
      </c>
      <c r="D246" t="inlineStr">
        <is>
          <t>https://www.imdb.com/title/tt4016934/?ref_=chttp_i_245</t>
        </is>
      </c>
      <c r="E246" t="inlineStr">
        <is>
          <t>https://m.media-amazon.com/images/M/MV5BOTllZDI1OGItOGUxNS00OGZhLWIzMjAtYzllZTY1YTA0ZmYwXkEyXkFqcGc@._V1_QL75_UY133_CR1,0,90,133_.jpg</t>
        </is>
      </c>
    </row>
    <row r="247">
      <c r="A247" s="2">
        <f>HYPERLINK("https://www.imdb.com/title/tt0074958/?ref_=chttp_i_246", "Network")</f>
        <v/>
      </c>
      <c r="B247" t="n">
        <v>8.1</v>
      </c>
      <c r="D247" t="inlineStr">
        <is>
          <t>https://www.imdb.com/title/tt0074958/?ref_=chttp_i_246</t>
        </is>
      </c>
      <c r="E247" t="inlineStr">
        <is>
          <t>https://m.media-amazon.com/images/M/MV5BY2E4ZGJiNTMtZTAxZC00MmVlLWI1NjYtMGVhMjhkOGEwZDhjXkEyXkFqcGc@._V1_QL75_UX90_CR0,2,90,133_.jpg</t>
        </is>
      </c>
    </row>
    <row r="248">
      <c r="A248" s="2">
        <f>HYPERLINK("https://www.imdb.com/title/tt4430212/?ref_=chttp_i_247", "Drishyam")</f>
        <v/>
      </c>
      <c r="B248" t="n">
        <v>8.199999999999999</v>
      </c>
      <c r="D248" t="inlineStr">
        <is>
          <t>https://www.imdb.com/title/tt4430212/?ref_=chttp_i_247</t>
        </is>
      </c>
      <c r="E248" t="inlineStr">
        <is>
          <t>https://m.media-amazon.com/images/M/MV5BMDRlZWFkMjEtYmYyZi00MmE5LWIzMzUtYmM2N2M5Y2UxZDJjXkEyXkFqcGc@._V1_QL75_UY133_CR1,0,90,133_.jpg</t>
        </is>
      </c>
    </row>
    <row r="249">
      <c r="A249" s="2">
        <f>HYPERLINK("https://www.imdb.com/title/tt1954470/?ref_=chttp_i_248", "Gangs of Wasseypur")</f>
        <v/>
      </c>
      <c r="B249" t="n">
        <v>8.199999999999999</v>
      </c>
      <c r="D249" t="inlineStr">
        <is>
          <t>https://www.imdb.com/title/tt1954470/?ref_=chttp_i_248</t>
        </is>
      </c>
      <c r="E249" t="inlineStr">
        <is>
          <t>https://m.media-amazon.com/images/M/MV5BNWQyMmJkYTItNDUyYS00MjgwLWFmYjUtOWQ1NmRjOGZlOTZhXkEyXkFqcGc@._V1_QL75_UX90_CR0,3,90,133_.jpg</t>
        </is>
      </c>
    </row>
    <row r="250">
      <c r="A250" s="2">
        <f>HYPERLINK("https://www.imdb.com/title/tt0032551/?ref_=chttp_i_249", "The Grapes of Wrath")</f>
        <v/>
      </c>
      <c r="B250" t="n">
        <v>8.1</v>
      </c>
      <c r="D250" t="inlineStr">
        <is>
          <t>https://www.imdb.com/title/tt0032551/?ref_=chttp_i_249</t>
        </is>
      </c>
      <c r="E250" t="inlineStr">
        <is>
          <t>https://m.media-amazon.com/images/M/MV5BZjIxZWJjZDktOGVhOC00Y2YyLThlMjMtOWMxYmI5MmFiN2QzXkEyXkFqcGc@._V1_QL75_UX90_CR0,1,90,133_.jpg</t>
        </is>
      </c>
    </row>
    <row r="251">
      <c r="A251" s="2">
        <f>HYPERLINK("https://www.imdb.com/title/tt0035446/?ref_=chttp_i_250", "To Be or Not to Be")</f>
        <v/>
      </c>
      <c r="B251" t="n">
        <v>8.1</v>
      </c>
      <c r="D251" t="inlineStr">
        <is>
          <t>https://www.imdb.com/title/tt0035446/?ref_=chttp_i_250</t>
        </is>
      </c>
      <c r="E251" t="inlineStr">
        <is>
          <t>https://m.media-amazon.com/images/M/MV5BMTA5OTRkZGUtNDhhOS00OThmLTgwZWYtZGZkM2M4YjZhNzc5XkEyXkFqcGc@._V1_QL75_UX90_CR0,1,90,133_.jpg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2026-03-21T15:34:34Z</dcterms:created>
  <dcterms:modified xmlns:dcterms="http://purl.org/dc/terms/" xmlns:xsi="http://www.w3.org/2001/XMLSchema-instance" xsi:type="dcterms:W3CDTF">2026-03-21T15:34:34Z</dcterms:modified>
</cp:coreProperties>
</file>